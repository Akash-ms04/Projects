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AKASH\Desktop\Work\Project - Excel\"/>
    </mc:Choice>
  </mc:AlternateContent>
  <xr:revisionPtr revIDLastSave="0" documentId="8_{52421CE4-F41E-4941-9276-BE0BCD5C75F8}" xr6:coauthVersionLast="47" xr6:coauthVersionMax="47" xr10:uidLastSave="{00000000-0000-0000-0000-000000000000}"/>
  <bookViews>
    <workbookView xWindow="-120" yWindow="-120" windowWidth="29040" windowHeight="16440" activeTab="1" xr2:uid="{00000000-000D-0000-FFFF-FFFF00000000}"/>
  </bookViews>
  <sheets>
    <sheet name="Data" sheetId="1" r:id="rId1"/>
    <sheet name="Cleaned Data" sheetId="3" r:id="rId2"/>
    <sheet name="Pivots" sheetId="4" r:id="rId3"/>
    <sheet name="Dashboard" sheetId="6" r:id="rId4"/>
  </sheets>
  <definedNames>
    <definedName name="ExternalData_1" localSheetId="1" hidden="1">'Cleaned Data'!$A$1:$M$316</definedName>
    <definedName name="Slicer_Months__Order_Date">#N/A</definedName>
    <definedName name="Slicer_Region">#N/A</definedName>
    <definedName name="Slicer_Returned">#N/A</definedName>
    <definedName name="Slicer_Sub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FE4514-2ACA-4C6A-95F3-3B612A221EE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<sst xmlns="http://schemas.openxmlformats.org/spreadsheetml/2006/main" count="3586" uniqueCount="68">
  <si>
    <t>Order ID</t>
  </si>
  <si>
    <t>Order Date</t>
  </si>
  <si>
    <t>Cust Name</t>
  </si>
  <si>
    <t>Region</t>
  </si>
  <si>
    <t>Prod_Category</t>
  </si>
  <si>
    <t>Sub-Category</t>
  </si>
  <si>
    <t>Quantity</t>
  </si>
  <si>
    <t>Unit Price</t>
  </si>
  <si>
    <t>Discount</t>
  </si>
  <si>
    <t>Sales</t>
  </si>
  <si>
    <t>Profit</t>
  </si>
  <si>
    <t>Returned</t>
  </si>
  <si>
    <t>Misc Info</t>
  </si>
  <si>
    <t>David</t>
  </si>
  <si>
    <t>Frank</t>
  </si>
  <si>
    <t>Alice</t>
  </si>
  <si>
    <t>Charlie</t>
  </si>
  <si>
    <t>Grace</t>
  </si>
  <si>
    <t>Bob</t>
  </si>
  <si>
    <t>Eva</t>
  </si>
  <si>
    <t>West</t>
  </si>
  <si>
    <t>East</t>
  </si>
  <si>
    <t>Central</t>
  </si>
  <si>
    <t>South</t>
  </si>
  <si>
    <t>Office Supplies</t>
  </si>
  <si>
    <t>Technology</t>
  </si>
  <si>
    <t>Furniture</t>
  </si>
  <si>
    <t>Phones</t>
  </si>
  <si>
    <t>Chairs</t>
  </si>
  <si>
    <t>Accessories</t>
  </si>
  <si>
    <t>Tables</t>
  </si>
  <si>
    <t>Binders</t>
  </si>
  <si>
    <t>No</t>
  </si>
  <si>
    <t>Yes</t>
  </si>
  <si>
    <t>N/A</t>
  </si>
  <si>
    <t>-</t>
  </si>
  <si>
    <t>Check</t>
  </si>
  <si>
    <t>Order_ID</t>
  </si>
  <si>
    <t>Order_Date</t>
  </si>
  <si>
    <t>Customer_Name</t>
  </si>
  <si>
    <t>Product_Category</t>
  </si>
  <si>
    <t>Sub_Category</t>
  </si>
  <si>
    <t>Unit_Price</t>
  </si>
  <si>
    <t>Row Labels</t>
  </si>
  <si>
    <t>Grand Total</t>
  </si>
  <si>
    <t>Sum of Sales</t>
  </si>
  <si>
    <t>Sum of Profit</t>
  </si>
  <si>
    <t>Regional Sales Performance</t>
  </si>
  <si>
    <t>Product Category &amp; Sub-Category Analysis</t>
  </si>
  <si>
    <t>Customer Profitability Analysis</t>
  </si>
  <si>
    <t>Discount Impact on Profit</t>
  </si>
  <si>
    <t>Average of Profit</t>
  </si>
  <si>
    <t>Monthly Sales Trend &amp; Forecasting</t>
  </si>
  <si>
    <t>Jan</t>
  </si>
  <si>
    <t>Feb</t>
  </si>
  <si>
    <t>Mar</t>
  </si>
  <si>
    <t>Apr</t>
  </si>
  <si>
    <t>May</t>
  </si>
  <si>
    <t>Jun</t>
  </si>
  <si>
    <t>Jul</t>
  </si>
  <si>
    <t>Aug</t>
  </si>
  <si>
    <t>Sep</t>
  </si>
  <si>
    <t>Oct</t>
  </si>
  <si>
    <t>Top Product Analysis</t>
  </si>
  <si>
    <t>Profit Margin Analysis</t>
  </si>
  <si>
    <t>Profit_Margin</t>
  </si>
  <si>
    <t>Average of Profit_Margin</t>
  </si>
  <si>
    <t>Count of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</si>
</sst>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_-[$$-409]* #,##0.00_ ;_-[$$-409]* \-#,##0.00\ ;_-[$$-409]* &quot;-&quot;??_ ;_-@_ "/>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22"/>
      <color theme="1"/>
      <name val="Calibri"/>
      <family val="2"/>
      <scheme val="minor"/>
    </font>
    <font>
      <b/>
      <sz val="22"/>
      <color rgb="FF000000"/>
      <name val="Calibri"/>
      <family val="2"/>
      <scheme val="minor"/>
    </font>
    <font>
      <b/>
      <sz val="26"/>
      <color theme="1"/>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applyAlignment="1">
      <alignment horizontal="left"/>
    </xf>
    <xf numFmtId="9" fontId="0" fillId="0" borderId="0" xfId="0" pivotButton="1" applyNumberFormat="1"/>
    <xf numFmtId="165" fontId="0" fillId="0" borderId="0" xfId="0" applyNumberFormat="1"/>
    <xf numFmtId="2" fontId="0" fillId="0" borderId="0" xfId="0" applyNumberFormat="1"/>
    <xf numFmtId="10" fontId="0" fillId="0" borderId="0" xfId="0" applyNumberFormat="1"/>
    <xf numFmtId="9" fontId="0" fillId="0" borderId="0" xfId="1" applyFont="1"/>
    <xf numFmtId="0" fontId="0" fillId="2" borderId="0" xfId="0" applyFill="1"/>
    <xf numFmtId="0" fontId="5" fillId="0" borderId="0" xfId="0" applyFont="1" applyAlignment="1">
      <alignment horizontal="center" vertical="center"/>
    </xf>
    <xf numFmtId="0" fontId="3" fillId="0" borderId="0" xfId="0" applyFont="1"/>
    <xf numFmtId="0" fontId="4" fillId="0" borderId="0" xfId="0" applyFont="1"/>
  </cellXfs>
  <cellStyles count="2">
    <cellStyle name="Normal" xfId="0" builtinId="0"/>
    <cellStyle name="Percent" xfId="1" builtinId="5"/>
  </cellStyles>
  <dxfs count="54">
    <dxf>
      <numFmt numFmtId="0" formatCode="General"/>
    </dxf>
    <dxf>
      <font>
        <b val="0"/>
        <i val="0"/>
        <strike val="0"/>
        <condense val="0"/>
        <extend val="0"/>
        <outline val="0"/>
        <shadow val="0"/>
        <u val="none"/>
        <vertAlign val="baseline"/>
        <sz val="11"/>
        <color theme="1"/>
        <name val="Calibri"/>
        <family val="2"/>
        <scheme val="minor"/>
      </font>
    </dxf>
    <dxf>
      <numFmt numFmtId="165" formatCode="_-[$$-409]* #,##0.00_ ;_-[$$-409]* \-#,##0.00\ ;_-[$$-409]* &quot;-&quot;??_ ;_-@_ "/>
    </dxf>
    <dxf>
      <numFmt numFmtId="165" formatCode="_-[$$-409]* #,##0.00_ ;_-[$$-409]* \-#,##0.00\ ;_-[$$-409]* &quot;-&quot;??_ ;_-@_ "/>
    </dxf>
    <dxf>
      <font>
        <b val="0"/>
        <i val="0"/>
        <strike val="0"/>
        <condense val="0"/>
        <extend val="0"/>
        <outline val="0"/>
        <shadow val="0"/>
        <u val="none"/>
        <vertAlign val="baseline"/>
        <sz val="11"/>
        <color theme="1"/>
        <name val="Calibri"/>
        <family val="2"/>
        <scheme val="minor"/>
      </font>
    </dxf>
    <dxf>
      <numFmt numFmtId="165" formatCode="_-[$$-409]* #,##0.00_ ;_-[$$-409]* \-#,##0.00\ ;_-[$$-409]* &quot;-&quot;??_ ;_-@_ "/>
    </dxf>
    <dxf>
      <numFmt numFmtId="0" formatCode="General"/>
    </dxf>
    <dxf>
      <numFmt numFmtId="0" formatCode="General"/>
    </dxf>
    <dxf>
      <numFmt numFmtId="0" formatCode="General"/>
    </dxf>
    <dxf>
      <numFmt numFmtId="0" formatCode="General"/>
    </dxf>
    <dxf>
      <numFmt numFmtId="19" formatCode="dd/mm/yyyy"/>
    </dxf>
    <dxf>
      <numFmt numFmtId="2" formatCode="0.00"/>
    </dxf>
    <dxf>
      <numFmt numFmtId="0" formatCode="General"/>
    </dxf>
    <dxf>
      <numFmt numFmtId="165" formatCode="_-[$$-409]* #,##0.00_ ;_-[$$-409]* \-#,##0.00\ ;_-[$$-409]* &quot;-&quot;??_ ;_-@_ "/>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165"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_-[$$-409]* #,##0.00_ ;_-[$$-409]* \-#,##0.00\ ;_-[$$-409]* &quot;-&quot;??_ ;_-@_ "/>
    </dxf>
    <dxf>
      <numFmt numFmtId="2" formatCode="0.00"/>
    </dxf>
    <dxf>
      <numFmt numFmtId="2" formatCode="0.00"/>
    </dxf>
    <dxf>
      <numFmt numFmtId="165" formatCode="_-[$$-409]* #,##0.00_ ;_-[$$-409]* \-#,##0.00\ ;_-[$$-409]* &quot;-&quot;??_ ;_-@_ "/>
    </dxf>
    <dxf>
      <numFmt numFmtId="165" formatCode="_-[$$-409]* #,##0.00_ ;_-[$$-409]* \-#,##0.00\ ;_-[$$-409]* &quot;-&quot;??_ ;_-@_ "/>
    </dxf>
    <dxf>
      <numFmt numFmtId="2" formatCode="0.00"/>
    </dxf>
    <dxf>
      <numFmt numFmtId="2" formatCode="0.00"/>
    </dxf>
    <dxf>
      <numFmt numFmtId="2" formatCode="0.00"/>
    </dxf>
    <dxf>
      <numFmt numFmtId="2" formatCode="0.00"/>
    </dxf>
    <dxf>
      <numFmt numFmtId="165" formatCode="_-[$$-409]* #,##0.00_ ;_-[$$-409]* \-#,##0.00\ ;_-[$$-409]* &quot;-&quot;??_ ;_-@_ "/>
    </dxf>
    <dxf>
      <numFmt numFmtId="2" formatCode="0.00"/>
    </dxf>
    <dxf>
      <numFmt numFmtId="14" formatCode="0.00%"/>
    </dxf>
    <dxf>
      <numFmt numFmtId="165" formatCode="_-[$$-409]* #,##0.00_ ;_-[$$-409]* \-#,##0.00\ ;_-[$$-409]* &quot;-&quot;??_ ;_-@_ "/>
    </dxf>
    <dxf>
      <numFmt numFmtId="165" formatCode="_-[$$-409]* #,##0.00_ ;_-[$$-409]* \-#,##0.00\ ;_-[$$-409]* &quot;-&quot;??_ ;_-@_ "/>
    </dxf>
    <dxf>
      <font>
        <b/>
        <i val="0"/>
        <color theme="0"/>
      </font>
      <border>
        <bottom style="thin">
          <color theme="0" tint="-0.34998626667073579"/>
        </bottom>
        <vertical/>
        <horizontal/>
      </border>
    </dxf>
    <dxf>
      <font>
        <color theme="1"/>
      </font>
      <fill>
        <patternFill>
          <fgColor theme="1" tint="0.24994659260841701"/>
          <bgColor theme="1" tint="0.24994659260841701"/>
        </patternFill>
      </fill>
      <border diagonalUp="0" diagonalDown="0">
        <left/>
        <right/>
        <top/>
        <bottom/>
        <vertical/>
        <horizontal/>
      </border>
    </dxf>
    <dxf>
      <font>
        <b/>
        <i val="0"/>
        <color theme="0"/>
      </font>
      <border>
        <bottom style="thin">
          <color theme="0" tint="-0.34998626667073579"/>
        </bottom>
        <vertical/>
        <horizontal/>
      </border>
    </dxf>
    <dxf>
      <font>
        <color theme="1"/>
      </font>
      <fill>
        <patternFill>
          <bgColor theme="1" tint="0.24994659260841701"/>
        </patternFill>
      </fill>
      <border diagonalUp="0" diagonalDown="0">
        <left/>
        <right/>
        <top/>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3" defaultTableStyle="TableStyleMedium9" defaultPivotStyle="PivotStyleLight16">
    <tableStyle name="Grey" pivot="0" table="0" count="10" xr9:uid="{BD498462-2C87-4710-9B29-FD36630CB9E0}">
      <tableStyleElement type="wholeTable" dxfId="53"/>
      <tableStyleElement type="headerRow" dxfId="52"/>
    </tableStyle>
    <tableStyle name="Grey 2" pivot="0" table="0" count="10" xr9:uid="{73723199-A900-4B04-9A18-2D6573B5BF31}">
      <tableStyleElement type="wholeTable" dxfId="51"/>
      <tableStyleElement type="headerRow" dxfId="50"/>
    </tableStyle>
    <tableStyle name="Grey 3" pivot="0" table="0" count="10" xr9:uid="{79B08A3B-F621-4376-9BA4-192A33A83178}">
      <tableStyleElement type="wholeTable" dxfId="49"/>
      <tableStyleElement type="headerRow" dxfId="48"/>
    </tableStyle>
  </tableStyles>
  <colors>
    <mruColors>
      <color rgb="FFD64340"/>
      <color rgb="FFD74340"/>
    </mruColors>
  </colors>
  <extLst>
    <ext xmlns:x14="http://schemas.microsoft.com/office/spreadsheetml/2009/9/main" uri="{46F421CA-312F-682f-3DD2-61675219B42D}">
      <x14:dxfs count="24">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3743705557422"/>
              <bgColor theme="0" tint="-0.49998474074526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49998474074526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rey">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Grey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Grey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Data.xlsx]Pivots!PivotTable1</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Pivots!$A$4:$A$8</c:f>
              <c:strCache>
                <c:ptCount val="4"/>
                <c:pt idx="0">
                  <c:v>Central</c:v>
                </c:pt>
                <c:pt idx="1">
                  <c:v>East</c:v>
                </c:pt>
                <c:pt idx="2">
                  <c:v>South</c:v>
                </c:pt>
                <c:pt idx="3">
                  <c:v>West</c:v>
                </c:pt>
              </c:strCache>
            </c:strRef>
          </c:cat>
          <c:val>
            <c:numRef>
              <c:f>Pivots!$B$4:$B$8</c:f>
              <c:numCache>
                <c:formatCode>0.00</c:formatCode>
                <c:ptCount val="4"/>
                <c:pt idx="0">
                  <c:v>84372.999999999971</c:v>
                </c:pt>
                <c:pt idx="1">
                  <c:v>115189.6</c:v>
                </c:pt>
                <c:pt idx="2">
                  <c:v>87376.3</c:v>
                </c:pt>
                <c:pt idx="3">
                  <c:v>82836.60000000002</c:v>
                </c:pt>
              </c:numCache>
            </c:numRef>
          </c:val>
          <c:extLst>
            <c:ext xmlns:c16="http://schemas.microsoft.com/office/drawing/2014/chart" uri="{C3380CC4-5D6E-409C-BE32-E72D297353CC}">
              <c16:uniqueId val="{00000000-836A-4CBA-98E6-2EBB8C603CC7}"/>
            </c:ext>
          </c:extLst>
        </c:ser>
        <c:ser>
          <c:idx val="1"/>
          <c:order val="1"/>
          <c:tx>
            <c:strRef>
              <c:f>Pivots!$C$3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Pivots!$A$4:$A$8</c:f>
              <c:strCache>
                <c:ptCount val="4"/>
                <c:pt idx="0">
                  <c:v>Central</c:v>
                </c:pt>
                <c:pt idx="1">
                  <c:v>East</c:v>
                </c:pt>
                <c:pt idx="2">
                  <c:v>South</c:v>
                </c:pt>
                <c:pt idx="3">
                  <c:v>West</c:v>
                </c:pt>
              </c:strCache>
            </c:strRef>
          </c:cat>
          <c:val>
            <c:numRef>
              <c:f>Pivots!$C$4:$C$8</c:f>
              <c:numCache>
                <c:formatCode>0.00</c:formatCode>
                <c:ptCount val="4"/>
                <c:pt idx="0">
                  <c:v>14812.976399999996</c:v>
                </c:pt>
                <c:pt idx="1">
                  <c:v>21505.487100000002</c:v>
                </c:pt>
                <c:pt idx="2">
                  <c:v>14612.556299999997</c:v>
                </c:pt>
                <c:pt idx="3">
                  <c:v>15547.192399999996</c:v>
                </c:pt>
              </c:numCache>
            </c:numRef>
          </c:val>
          <c:extLst>
            <c:ext xmlns:c16="http://schemas.microsoft.com/office/drawing/2014/chart" uri="{C3380CC4-5D6E-409C-BE32-E72D297353CC}">
              <c16:uniqueId val="{00000002-836A-4CBA-98E6-2EBB8C603CC7}"/>
            </c:ext>
          </c:extLst>
        </c:ser>
        <c:dLbls>
          <c:showLegendKey val="0"/>
          <c:showVal val="0"/>
          <c:showCatName val="0"/>
          <c:showSerName val="0"/>
          <c:showPercent val="0"/>
          <c:showBubbleSize val="0"/>
        </c:dLbls>
        <c:gapWidth val="100"/>
        <c:overlap val="-24"/>
        <c:axId val="1561119824"/>
        <c:axId val="1561115504"/>
      </c:barChart>
      <c:catAx>
        <c:axId val="1561119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1115504"/>
        <c:crosses val="autoZero"/>
        <c:auto val="1"/>
        <c:lblAlgn val="ctr"/>
        <c:lblOffset val="100"/>
        <c:noMultiLvlLbl val="0"/>
      </c:catAx>
      <c:valAx>
        <c:axId val="156111550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111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Pivots!$B$23</c:f>
              <c:strCache>
                <c:ptCount val="1"/>
                <c:pt idx="0">
                  <c:v>Sum of Sales</c:v>
                </c:pt>
              </c:strCache>
            </c:strRef>
          </c:tx>
          <c:spPr>
            <a:solidFill>
              <a:schemeClr val="accent1"/>
            </a:solidFill>
            <a:ln>
              <a:noFill/>
            </a:ln>
            <a:effectLst/>
          </c:spPr>
          <c:invertIfNegative val="0"/>
          <c:cat>
            <c:multiLvlStrRef>
              <c:f>Pivots!$A$24:$A$42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Pivots!$B$24:$B$42</c:f>
              <c:numCache>
                <c:formatCode>0.00</c:formatCode>
                <c:ptCount val="15"/>
                <c:pt idx="0">
                  <c:v>25199.600000000002</c:v>
                </c:pt>
                <c:pt idx="1">
                  <c:v>22324.699999999997</c:v>
                </c:pt>
                <c:pt idx="2">
                  <c:v>30276.499999999996</c:v>
                </c:pt>
                <c:pt idx="3">
                  <c:v>26586.1</c:v>
                </c:pt>
                <c:pt idx="4">
                  <c:v>26137.9</c:v>
                </c:pt>
                <c:pt idx="5">
                  <c:v>27049.9</c:v>
                </c:pt>
                <c:pt idx="6">
                  <c:v>28947.100000000002</c:v>
                </c:pt>
                <c:pt idx="7">
                  <c:v>29152</c:v>
                </c:pt>
                <c:pt idx="8">
                  <c:v>27397.300000000003</c:v>
                </c:pt>
                <c:pt idx="9">
                  <c:v>22126.299999999996</c:v>
                </c:pt>
                <c:pt idx="10">
                  <c:v>33057.599999999999</c:v>
                </c:pt>
                <c:pt idx="11">
                  <c:v>30542.700000000004</c:v>
                </c:pt>
                <c:pt idx="12">
                  <c:v>12091.300000000001</c:v>
                </c:pt>
                <c:pt idx="13">
                  <c:v>12977.9</c:v>
                </c:pt>
                <c:pt idx="14">
                  <c:v>15908.6</c:v>
                </c:pt>
              </c:numCache>
            </c:numRef>
          </c:val>
          <c:extLst>
            <c:ext xmlns:c16="http://schemas.microsoft.com/office/drawing/2014/chart" uri="{C3380CC4-5D6E-409C-BE32-E72D297353CC}">
              <c16:uniqueId val="{00000000-FBDB-4E18-806B-5FBB85EC5F19}"/>
            </c:ext>
          </c:extLst>
        </c:ser>
        <c:ser>
          <c:idx val="1"/>
          <c:order val="1"/>
          <c:tx>
            <c:strRef>
              <c:f>Pivots!$C$23</c:f>
              <c:strCache>
                <c:ptCount val="1"/>
                <c:pt idx="0">
                  <c:v>Sum of Profit</c:v>
                </c:pt>
              </c:strCache>
            </c:strRef>
          </c:tx>
          <c:spPr>
            <a:solidFill>
              <a:schemeClr val="accent2"/>
            </a:solidFill>
            <a:ln>
              <a:noFill/>
            </a:ln>
            <a:effectLst/>
          </c:spPr>
          <c:invertIfNegative val="0"/>
          <c:cat>
            <c:multiLvlStrRef>
              <c:f>Pivots!$A$24:$A$42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Pivots!$C$24:$C$42</c:f>
              <c:numCache>
                <c:formatCode>0.00</c:formatCode>
                <c:ptCount val="15"/>
                <c:pt idx="0">
                  <c:v>4343.3575000000001</c:v>
                </c:pt>
                <c:pt idx="1">
                  <c:v>2620.8861999999999</c:v>
                </c:pt>
                <c:pt idx="2">
                  <c:v>6431.9593999999997</c:v>
                </c:pt>
                <c:pt idx="3">
                  <c:v>4699.9035999999996</c:v>
                </c:pt>
                <c:pt idx="4">
                  <c:v>5667.1243999999988</c:v>
                </c:pt>
                <c:pt idx="5">
                  <c:v>5469.4885000000004</c:v>
                </c:pt>
                <c:pt idx="6">
                  <c:v>5626.7380999999996</c:v>
                </c:pt>
                <c:pt idx="7">
                  <c:v>5218.1848999999993</c:v>
                </c:pt>
                <c:pt idx="8">
                  <c:v>4772.2995999999985</c:v>
                </c:pt>
                <c:pt idx="9">
                  <c:v>3656.3435999999997</c:v>
                </c:pt>
                <c:pt idx="10">
                  <c:v>5265.9635999999991</c:v>
                </c:pt>
                <c:pt idx="11">
                  <c:v>4481.2840999999999</c:v>
                </c:pt>
                <c:pt idx="12">
                  <c:v>2086.0936000000002</c:v>
                </c:pt>
                <c:pt idx="13">
                  <c:v>2378.1685999999995</c:v>
                </c:pt>
                <c:pt idx="14">
                  <c:v>3760.4165000000003</c:v>
                </c:pt>
              </c:numCache>
            </c:numRef>
          </c:val>
          <c:extLst>
            <c:ext xmlns:c16="http://schemas.microsoft.com/office/drawing/2014/chart" uri="{C3380CC4-5D6E-409C-BE32-E72D297353CC}">
              <c16:uniqueId val="{00000002-FBDB-4E18-806B-5FBB85EC5F19}"/>
            </c:ext>
          </c:extLst>
        </c:ser>
        <c:dLbls>
          <c:showLegendKey val="0"/>
          <c:showVal val="0"/>
          <c:showCatName val="0"/>
          <c:showSerName val="0"/>
          <c:showPercent val="0"/>
          <c:showBubbleSize val="0"/>
        </c:dLbls>
        <c:gapWidth val="219"/>
        <c:overlap val="100"/>
        <c:axId val="1751460272"/>
        <c:axId val="1751460752"/>
      </c:barChart>
      <c:catAx>
        <c:axId val="175146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60752"/>
        <c:crosses val="autoZero"/>
        <c:auto val="1"/>
        <c:lblAlgn val="ctr"/>
        <c:lblOffset val="100"/>
        <c:noMultiLvlLbl val="0"/>
      </c:catAx>
      <c:valAx>
        <c:axId val="1751460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6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Data.xlsx]Pivots!PivotTable3</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Pivots!$B$48</c:f>
              <c:strCache>
                <c:ptCount val="1"/>
                <c:pt idx="0">
                  <c:v>Sum of Profit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Pivots!$A$49:$A$56</c:f>
              <c:strCache>
                <c:ptCount val="7"/>
                <c:pt idx="0">
                  <c:v>Alice</c:v>
                </c:pt>
                <c:pt idx="1">
                  <c:v>Bob</c:v>
                </c:pt>
                <c:pt idx="2">
                  <c:v>Charlie</c:v>
                </c:pt>
                <c:pt idx="3">
                  <c:v>David</c:v>
                </c:pt>
                <c:pt idx="4">
                  <c:v>Eva</c:v>
                </c:pt>
                <c:pt idx="5">
                  <c:v>Frank</c:v>
                </c:pt>
                <c:pt idx="6">
                  <c:v>Grace</c:v>
                </c:pt>
              </c:strCache>
            </c:strRef>
          </c:cat>
          <c:val>
            <c:numRef>
              <c:f>Pivots!$B$49:$B$56</c:f>
              <c:numCache>
                <c:formatCode>0.00</c:formatCode>
                <c:ptCount val="7"/>
                <c:pt idx="0">
                  <c:v>11169.6788</c:v>
                </c:pt>
                <c:pt idx="1">
                  <c:v>9167.9184999999998</c:v>
                </c:pt>
                <c:pt idx="2">
                  <c:v>9934.1299999999992</c:v>
                </c:pt>
                <c:pt idx="3">
                  <c:v>6742.8645000000006</c:v>
                </c:pt>
                <c:pt idx="4">
                  <c:v>9265.4056999999993</c:v>
                </c:pt>
                <c:pt idx="5">
                  <c:v>10893.732899999999</c:v>
                </c:pt>
                <c:pt idx="6">
                  <c:v>9304.4817999999977</c:v>
                </c:pt>
              </c:numCache>
            </c:numRef>
          </c:val>
          <c:extLst>
            <c:ext xmlns:c16="http://schemas.microsoft.com/office/drawing/2014/chart" uri="{C3380CC4-5D6E-409C-BE32-E72D297353CC}">
              <c16:uniqueId val="{00000000-528C-4B6A-8BB4-779A4515623C}"/>
            </c:ext>
          </c:extLst>
        </c:ser>
        <c:ser>
          <c:idx val="1"/>
          <c:order val="1"/>
          <c:tx>
            <c:strRef>
              <c:f>Pivots!$C$48</c:f>
              <c:strCache>
                <c:ptCount val="1"/>
                <c:pt idx="0">
                  <c:v>Sum of Sales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Pivots!$A$49:$A$56</c:f>
              <c:strCache>
                <c:ptCount val="7"/>
                <c:pt idx="0">
                  <c:v>Alice</c:v>
                </c:pt>
                <c:pt idx="1">
                  <c:v>Bob</c:v>
                </c:pt>
                <c:pt idx="2">
                  <c:v>Charlie</c:v>
                </c:pt>
                <c:pt idx="3">
                  <c:v>David</c:v>
                </c:pt>
                <c:pt idx="4">
                  <c:v>Eva</c:v>
                </c:pt>
                <c:pt idx="5">
                  <c:v>Frank</c:v>
                </c:pt>
                <c:pt idx="6">
                  <c:v>Grace</c:v>
                </c:pt>
              </c:strCache>
            </c:strRef>
          </c:cat>
          <c:val>
            <c:numRef>
              <c:f>Pivots!$C$49:$C$56</c:f>
              <c:numCache>
                <c:formatCode>0.00</c:formatCode>
                <c:ptCount val="7"/>
                <c:pt idx="0">
                  <c:v>64640.9</c:v>
                </c:pt>
                <c:pt idx="1">
                  <c:v>51155.299999999988</c:v>
                </c:pt>
                <c:pt idx="2">
                  <c:v>53221.000000000007</c:v>
                </c:pt>
                <c:pt idx="3">
                  <c:v>43663.999999999993</c:v>
                </c:pt>
                <c:pt idx="4">
                  <c:v>45684.600000000006</c:v>
                </c:pt>
                <c:pt idx="5">
                  <c:v>63642.599999999991</c:v>
                </c:pt>
                <c:pt idx="6">
                  <c:v>47767.100000000006</c:v>
                </c:pt>
              </c:numCache>
            </c:numRef>
          </c:val>
          <c:extLst>
            <c:ext xmlns:c16="http://schemas.microsoft.com/office/drawing/2014/chart" uri="{C3380CC4-5D6E-409C-BE32-E72D297353CC}">
              <c16:uniqueId val="{00000002-528C-4B6A-8BB4-779A4515623C}"/>
            </c:ext>
          </c:extLst>
        </c:ser>
        <c:dLbls>
          <c:dLblPos val="inEnd"/>
          <c:showLegendKey val="0"/>
          <c:showVal val="1"/>
          <c:showCatName val="0"/>
          <c:showSerName val="0"/>
          <c:showPercent val="0"/>
          <c:showBubbleSize val="0"/>
        </c:dLbls>
        <c:gapWidth val="65"/>
        <c:axId val="1751476592"/>
        <c:axId val="1751484752"/>
      </c:barChart>
      <c:catAx>
        <c:axId val="17514765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1484752"/>
        <c:crosses val="autoZero"/>
        <c:auto val="1"/>
        <c:lblAlgn val="ctr"/>
        <c:lblOffset val="100"/>
        <c:noMultiLvlLbl val="0"/>
      </c:catAx>
      <c:valAx>
        <c:axId val="17514847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1476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Pivots!$A$69:$A$73</c:f>
              <c:strCache>
                <c:ptCount val="4"/>
                <c:pt idx="0">
                  <c:v>0</c:v>
                </c:pt>
                <c:pt idx="1">
                  <c:v>0.1</c:v>
                </c:pt>
                <c:pt idx="2">
                  <c:v>0.2</c:v>
                </c:pt>
                <c:pt idx="3">
                  <c:v>0.3</c:v>
                </c:pt>
              </c:strCache>
            </c:strRef>
          </c:cat>
          <c:val>
            <c:numRef>
              <c:f>Pivots!$B$69:$B$73</c:f>
              <c:numCache>
                <c:formatCode>0.00</c:formatCode>
                <c:ptCount val="4"/>
                <c:pt idx="0">
                  <c:v>255.52039000000005</c:v>
                </c:pt>
                <c:pt idx="1">
                  <c:v>175.4871150684931</c:v>
                </c:pt>
                <c:pt idx="2">
                  <c:v>137.28899795918366</c:v>
                </c:pt>
                <c:pt idx="3">
                  <c:v>217.82287619047617</c:v>
                </c:pt>
              </c:numCache>
            </c:numRef>
          </c:val>
          <c:extLst>
            <c:ext xmlns:c16="http://schemas.microsoft.com/office/drawing/2014/chart" uri="{C3380CC4-5D6E-409C-BE32-E72D297353CC}">
              <c16:uniqueId val="{00000000-B5EC-4AEA-B7F7-E53AE355BEFE}"/>
            </c:ext>
          </c:extLst>
        </c:ser>
        <c:dLbls>
          <c:dLblPos val="outEnd"/>
          <c:showLegendKey val="0"/>
          <c:showVal val="1"/>
          <c:showCatName val="0"/>
          <c:showSerName val="0"/>
          <c:showPercent val="0"/>
          <c:showBubbleSize val="0"/>
        </c:dLbls>
        <c:gapWidth val="219"/>
        <c:overlap val="-27"/>
        <c:axId val="1751382512"/>
        <c:axId val="1751399312"/>
      </c:barChart>
      <c:catAx>
        <c:axId val="1751382512"/>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99312"/>
        <c:crosses val="autoZero"/>
        <c:auto val="1"/>
        <c:lblAlgn val="ctr"/>
        <c:lblOffset val="100"/>
        <c:noMultiLvlLbl val="0"/>
      </c:catAx>
      <c:valAx>
        <c:axId val="175139931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8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Pivots!$B$87</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Pivots!$A$88:$A$98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Pivots!$B$88:$B$98</c:f>
              <c:numCache>
                <c:formatCode>General</c:formatCode>
                <c:ptCount val="10"/>
                <c:pt idx="0">
                  <c:v>39118.9</c:v>
                </c:pt>
                <c:pt idx="1">
                  <c:v>35999.399999999994</c:v>
                </c:pt>
                <c:pt idx="2">
                  <c:v>41883.899999999987</c:v>
                </c:pt>
                <c:pt idx="3">
                  <c:v>42144.600000000006</c:v>
                </c:pt>
                <c:pt idx="4">
                  <c:v>35355.100000000006</c:v>
                </c:pt>
                <c:pt idx="5">
                  <c:v>33264.199999999997</c:v>
                </c:pt>
                <c:pt idx="6">
                  <c:v>38407.499999999993</c:v>
                </c:pt>
                <c:pt idx="7">
                  <c:v>39949.399999999994</c:v>
                </c:pt>
                <c:pt idx="8">
                  <c:v>36232.300000000003</c:v>
                </c:pt>
                <c:pt idx="9">
                  <c:v>27420.200000000008</c:v>
                </c:pt>
              </c:numCache>
            </c:numRef>
          </c:val>
          <c:smooth val="0"/>
          <c:extLst>
            <c:ext xmlns:c16="http://schemas.microsoft.com/office/drawing/2014/chart" uri="{C3380CC4-5D6E-409C-BE32-E72D297353CC}">
              <c16:uniqueId val="{00000000-4CE6-4593-8250-3CD92E1CA623}"/>
            </c:ext>
          </c:extLst>
        </c:ser>
        <c:ser>
          <c:idx val="1"/>
          <c:order val="1"/>
          <c:tx>
            <c:strRef>
              <c:f>Pivots!$C$87</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Pivots!$A$88:$A$98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Pivots!$C$88:$C$98</c:f>
              <c:numCache>
                <c:formatCode>0.00</c:formatCode>
                <c:ptCount val="10"/>
                <c:pt idx="0">
                  <c:v>6583.0669999999991</c:v>
                </c:pt>
                <c:pt idx="1">
                  <c:v>6898.1298999999999</c:v>
                </c:pt>
                <c:pt idx="2">
                  <c:v>7419.3084999999992</c:v>
                </c:pt>
                <c:pt idx="3">
                  <c:v>7454.4203000000007</c:v>
                </c:pt>
                <c:pt idx="4">
                  <c:v>5823.3858999999993</c:v>
                </c:pt>
                <c:pt idx="5">
                  <c:v>6176.4647999999997</c:v>
                </c:pt>
                <c:pt idx="6">
                  <c:v>6973.3748999999998</c:v>
                </c:pt>
                <c:pt idx="7">
                  <c:v>7307.0416000000014</c:v>
                </c:pt>
                <c:pt idx="8">
                  <c:v>6998.4026999999996</c:v>
                </c:pt>
                <c:pt idx="9">
                  <c:v>4844.6165999999994</c:v>
                </c:pt>
              </c:numCache>
            </c:numRef>
          </c:val>
          <c:smooth val="0"/>
          <c:extLst>
            <c:ext xmlns:c16="http://schemas.microsoft.com/office/drawing/2014/chart" uri="{C3380CC4-5D6E-409C-BE32-E72D297353CC}">
              <c16:uniqueId val="{00000002-4CE6-4593-8250-3CD92E1CA623}"/>
            </c:ext>
          </c:extLst>
        </c:ser>
        <c:dLbls>
          <c:showLegendKey val="0"/>
          <c:showVal val="0"/>
          <c:showCatName val="0"/>
          <c:showSerName val="0"/>
          <c:showPercent val="0"/>
          <c:showBubbleSize val="0"/>
        </c:dLbls>
        <c:marker val="1"/>
        <c:smooth val="0"/>
        <c:axId val="283374031"/>
        <c:axId val="283361071"/>
      </c:lineChart>
      <c:catAx>
        <c:axId val="28337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61071"/>
        <c:crosses val="autoZero"/>
        <c:auto val="1"/>
        <c:lblAlgn val="ctr"/>
        <c:lblOffset val="100"/>
        <c:noMultiLvlLbl val="0"/>
      </c:catAx>
      <c:valAx>
        <c:axId val="28336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7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Pivots!$B$107</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6A-4FC2-A5A0-00BB8E123F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6A-4FC2-A5A0-00BB8E123F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6A-4FC2-A5A0-00BB8E123F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76A-4FC2-A5A0-00BB8E123FE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76A-4FC2-A5A0-00BB8E123F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Pivots!$A$108:$A$113</c:f>
              <c:strCache>
                <c:ptCount val="5"/>
                <c:pt idx="0">
                  <c:v>Accessories</c:v>
                </c:pt>
                <c:pt idx="1">
                  <c:v>Binders</c:v>
                </c:pt>
                <c:pt idx="2">
                  <c:v>Chairs</c:v>
                </c:pt>
                <c:pt idx="3">
                  <c:v>Phones</c:v>
                </c:pt>
                <c:pt idx="4">
                  <c:v>Tables</c:v>
                </c:pt>
              </c:strCache>
            </c:strRef>
          </c:cat>
          <c:val>
            <c:numRef>
              <c:f>Pivots!$B$108:$B$113</c:f>
              <c:numCache>
                <c:formatCode>0.00</c:formatCode>
                <c:ptCount val="5"/>
                <c:pt idx="0">
                  <c:v>15078.809599999995</c:v>
                </c:pt>
                <c:pt idx="1">
                  <c:v>12728.908399999998</c:v>
                </c:pt>
                <c:pt idx="2">
                  <c:v>13736.2379</c:v>
                </c:pt>
                <c:pt idx="3">
                  <c:v>11850.371800000003</c:v>
                </c:pt>
                <c:pt idx="4">
                  <c:v>13083.884499999995</c:v>
                </c:pt>
              </c:numCache>
            </c:numRef>
          </c:val>
          <c:extLst>
            <c:ext xmlns:c16="http://schemas.microsoft.com/office/drawing/2014/chart" uri="{C3380CC4-5D6E-409C-BE32-E72D297353CC}">
              <c16:uniqueId val="{00000000-B935-40CB-8C46-130AC495214C}"/>
            </c:ext>
          </c:extLst>
        </c:ser>
        <c:ser>
          <c:idx val="1"/>
          <c:order val="1"/>
          <c:tx>
            <c:strRef>
              <c:f>Pivots!$C$107</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76A-4FC2-A5A0-00BB8E123F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76A-4FC2-A5A0-00BB8E123F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76A-4FC2-A5A0-00BB8E123F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76A-4FC2-A5A0-00BB8E123FE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76A-4FC2-A5A0-00BB8E123F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Pivots!$A$108:$A$113</c:f>
              <c:strCache>
                <c:ptCount val="5"/>
                <c:pt idx="0">
                  <c:v>Accessories</c:v>
                </c:pt>
                <c:pt idx="1">
                  <c:v>Binders</c:v>
                </c:pt>
                <c:pt idx="2">
                  <c:v>Chairs</c:v>
                </c:pt>
                <c:pt idx="3">
                  <c:v>Phones</c:v>
                </c:pt>
                <c:pt idx="4">
                  <c:v>Tables</c:v>
                </c:pt>
              </c:strCache>
            </c:strRef>
          </c:cat>
          <c:val>
            <c:numRef>
              <c:f>Pivots!$C$108:$C$113</c:f>
              <c:numCache>
                <c:formatCode>0.00</c:formatCode>
                <c:ptCount val="5"/>
                <c:pt idx="0">
                  <c:v>85307.1</c:v>
                </c:pt>
                <c:pt idx="1">
                  <c:v>81814.499999999985</c:v>
                </c:pt>
                <c:pt idx="2">
                  <c:v>71519.8</c:v>
                </c:pt>
                <c:pt idx="3">
                  <c:v>66961.300000000017</c:v>
                </c:pt>
                <c:pt idx="4">
                  <c:v>64172.799999999988</c:v>
                </c:pt>
              </c:numCache>
            </c:numRef>
          </c:val>
          <c:extLst>
            <c:ext xmlns:c16="http://schemas.microsoft.com/office/drawing/2014/chart" uri="{C3380CC4-5D6E-409C-BE32-E72D297353CC}">
              <c16:uniqueId val="{00000002-B935-40CB-8C46-130AC495214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Pivots!$B$143</c:f>
              <c:strCache>
                <c:ptCount val="1"/>
                <c:pt idx="0">
                  <c:v>Total</c:v>
                </c:pt>
              </c:strCache>
            </c:strRef>
          </c:tx>
          <c:spPr>
            <a:solidFill>
              <a:schemeClr val="accent1"/>
            </a:solidFill>
            <a:ln>
              <a:noFill/>
            </a:ln>
            <a:effectLst/>
          </c:spPr>
          <c:invertIfNegative val="0"/>
          <c:cat>
            <c:multiLvlStrRef>
              <c:f>Pivots!$A$144:$A$159</c:f>
              <c:multiLvlStrCache>
                <c:ptCount val="12"/>
                <c:lvl>
                  <c:pt idx="0">
                    <c:v>Accessories</c:v>
                  </c:pt>
                  <c:pt idx="1">
                    <c:v>Binders</c:v>
                  </c:pt>
                  <c:pt idx="2">
                    <c:v>Chairs</c:v>
                  </c:pt>
                  <c:pt idx="3">
                    <c:v>Phones</c:v>
                  </c:pt>
                  <c:pt idx="4">
                    <c:v>Tables</c:v>
                  </c:pt>
                  <c:pt idx="5">
                    <c:v>Accessories</c:v>
                  </c:pt>
                  <c:pt idx="6">
                    <c:v>Binders</c:v>
                  </c:pt>
                  <c:pt idx="7">
                    <c:v>Chairs</c:v>
                  </c:pt>
                  <c:pt idx="8">
                    <c:v>Phones</c:v>
                  </c:pt>
                  <c:pt idx="9">
                    <c:v>Accessories</c:v>
                  </c:pt>
                  <c:pt idx="10">
                    <c:v>Binders</c:v>
                  </c:pt>
                  <c:pt idx="11">
                    <c:v>Tables</c:v>
                  </c:pt>
                </c:lvl>
                <c:lvl>
                  <c:pt idx="0">
                    <c:v>Furniture</c:v>
                  </c:pt>
                  <c:pt idx="5">
                    <c:v>Office Supplies</c:v>
                  </c:pt>
                  <c:pt idx="9">
                    <c:v>Technology</c:v>
                  </c:pt>
                </c:lvl>
              </c:multiLvlStrCache>
            </c:multiLvlStrRef>
          </c:cat>
          <c:val>
            <c:numRef>
              <c:f>Pivots!$B$144:$B$159</c:f>
              <c:numCache>
                <c:formatCode>General</c:formatCode>
                <c:ptCount val="12"/>
                <c:pt idx="0">
                  <c:v>1</c:v>
                </c:pt>
                <c:pt idx="1">
                  <c:v>1</c:v>
                </c:pt>
                <c:pt idx="2">
                  <c:v>2</c:v>
                </c:pt>
                <c:pt idx="3">
                  <c:v>5</c:v>
                </c:pt>
                <c:pt idx="4">
                  <c:v>2</c:v>
                </c:pt>
                <c:pt idx="5">
                  <c:v>2</c:v>
                </c:pt>
                <c:pt idx="6">
                  <c:v>3</c:v>
                </c:pt>
                <c:pt idx="7">
                  <c:v>7</c:v>
                </c:pt>
                <c:pt idx="8">
                  <c:v>2</c:v>
                </c:pt>
                <c:pt idx="9">
                  <c:v>3</c:v>
                </c:pt>
                <c:pt idx="10">
                  <c:v>2</c:v>
                </c:pt>
                <c:pt idx="11">
                  <c:v>4</c:v>
                </c:pt>
              </c:numCache>
            </c:numRef>
          </c:val>
          <c:extLst>
            <c:ext xmlns:c16="http://schemas.microsoft.com/office/drawing/2014/chart" uri="{C3380CC4-5D6E-409C-BE32-E72D297353CC}">
              <c16:uniqueId val="{0000001F-A38E-4759-8DCD-3FE846F5F4FF}"/>
            </c:ext>
          </c:extLst>
        </c:ser>
        <c:dLbls>
          <c:showLegendKey val="0"/>
          <c:showVal val="0"/>
          <c:showCatName val="0"/>
          <c:showSerName val="0"/>
          <c:showPercent val="0"/>
          <c:showBubbleSize val="0"/>
        </c:dLbls>
        <c:gapWidth val="219"/>
        <c:axId val="501745407"/>
        <c:axId val="501746367"/>
      </c:barChart>
      <c:catAx>
        <c:axId val="501745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46367"/>
        <c:crosses val="autoZero"/>
        <c:auto val="1"/>
        <c:lblAlgn val="ctr"/>
        <c:lblOffset val="100"/>
        <c:noMultiLvlLbl val="0"/>
      </c:catAx>
      <c:valAx>
        <c:axId val="501746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4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Data.xlsx]Pivots!PivotTable1</c:name>
    <c:fmtId val="6"/>
  </c:pivotSource>
  <c:chart>
    <c:title>
      <c:tx>
        <c:rich>
          <a:bodyPr rot="0" spcFirstLastPara="1" vertOverflow="ellipsis" vert="horz" wrap="square" anchor="ctr" anchorCtr="1"/>
          <a:lstStyle/>
          <a:p>
            <a:pPr>
              <a:defRPr sz="1600" b="1" i="0" u="none" strike="noStrike" kern="1200" spc="0" baseline="0">
                <a:solidFill>
                  <a:schemeClr val="bg1"/>
                </a:solidFill>
                <a:effectLst/>
                <a:latin typeface="+mn-lt"/>
                <a:ea typeface="+mn-ea"/>
                <a:cs typeface="+mn-cs"/>
              </a:defRPr>
            </a:pPr>
            <a:r>
              <a:rPr lang="en-IN" sz="1600" b="1"/>
              <a:t>Regional Sales Performance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Sum of Sales</c:v>
                </c:pt>
              </c:strCache>
            </c:strRef>
          </c:tx>
          <c:spPr>
            <a:solidFill>
              <a:schemeClr val="accent1"/>
            </a:solidFill>
            <a:ln>
              <a:noFill/>
            </a:ln>
            <a:effectLst/>
          </c:spPr>
          <c:invertIfNegative val="0"/>
          <c:cat>
            <c:strRef>
              <c:f>Pivots!$A$4:$A$8</c:f>
              <c:strCache>
                <c:ptCount val="4"/>
                <c:pt idx="0">
                  <c:v>Central</c:v>
                </c:pt>
                <c:pt idx="1">
                  <c:v>East</c:v>
                </c:pt>
                <c:pt idx="2">
                  <c:v>South</c:v>
                </c:pt>
                <c:pt idx="3">
                  <c:v>West</c:v>
                </c:pt>
              </c:strCache>
            </c:strRef>
          </c:cat>
          <c:val>
            <c:numRef>
              <c:f>Pivots!$B$4:$B$8</c:f>
              <c:numCache>
                <c:formatCode>0.00</c:formatCode>
                <c:ptCount val="4"/>
                <c:pt idx="0">
                  <c:v>84372.999999999971</c:v>
                </c:pt>
                <c:pt idx="1">
                  <c:v>115189.6</c:v>
                </c:pt>
                <c:pt idx="2">
                  <c:v>87376.3</c:v>
                </c:pt>
                <c:pt idx="3">
                  <c:v>82836.60000000002</c:v>
                </c:pt>
              </c:numCache>
            </c:numRef>
          </c:val>
          <c:extLst>
            <c:ext xmlns:c16="http://schemas.microsoft.com/office/drawing/2014/chart" uri="{C3380CC4-5D6E-409C-BE32-E72D297353CC}">
              <c16:uniqueId val="{00000000-3AFC-4C48-ABC2-D42474E9B6B3}"/>
            </c:ext>
          </c:extLst>
        </c:ser>
        <c:ser>
          <c:idx val="1"/>
          <c:order val="1"/>
          <c:tx>
            <c:strRef>
              <c:f>Pivots!$C$3</c:f>
              <c:strCache>
                <c:ptCount val="1"/>
                <c:pt idx="0">
                  <c:v>Sum of Profit</c:v>
                </c:pt>
              </c:strCache>
            </c:strRef>
          </c:tx>
          <c:spPr>
            <a:solidFill>
              <a:schemeClr val="accent3"/>
            </a:solidFill>
            <a:ln>
              <a:noFill/>
            </a:ln>
            <a:effectLst/>
          </c:spPr>
          <c:invertIfNegative val="0"/>
          <c:cat>
            <c:strRef>
              <c:f>Pivots!$A$4:$A$8</c:f>
              <c:strCache>
                <c:ptCount val="4"/>
                <c:pt idx="0">
                  <c:v>Central</c:v>
                </c:pt>
                <c:pt idx="1">
                  <c:v>East</c:v>
                </c:pt>
                <c:pt idx="2">
                  <c:v>South</c:v>
                </c:pt>
                <c:pt idx="3">
                  <c:v>West</c:v>
                </c:pt>
              </c:strCache>
            </c:strRef>
          </c:cat>
          <c:val>
            <c:numRef>
              <c:f>Pivots!$C$4:$C$8</c:f>
              <c:numCache>
                <c:formatCode>0.00</c:formatCode>
                <c:ptCount val="4"/>
                <c:pt idx="0">
                  <c:v>14812.976399999996</c:v>
                </c:pt>
                <c:pt idx="1">
                  <c:v>21505.487100000002</c:v>
                </c:pt>
                <c:pt idx="2">
                  <c:v>14612.556299999997</c:v>
                </c:pt>
                <c:pt idx="3">
                  <c:v>15547.192399999996</c:v>
                </c:pt>
              </c:numCache>
            </c:numRef>
          </c:val>
          <c:extLst>
            <c:ext xmlns:c16="http://schemas.microsoft.com/office/drawing/2014/chart" uri="{C3380CC4-5D6E-409C-BE32-E72D297353CC}">
              <c16:uniqueId val="{00000001-3AFC-4C48-ABC2-D42474E9B6B3}"/>
            </c:ext>
          </c:extLst>
        </c:ser>
        <c:dLbls>
          <c:showLegendKey val="0"/>
          <c:showVal val="0"/>
          <c:showCatName val="0"/>
          <c:showSerName val="0"/>
          <c:showPercent val="0"/>
          <c:showBubbleSize val="0"/>
        </c:dLbls>
        <c:gapWidth val="219"/>
        <c:overlap val="-27"/>
        <c:axId val="1561119824"/>
        <c:axId val="1561115504"/>
      </c:barChart>
      <c:catAx>
        <c:axId val="156111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561115504"/>
        <c:crosses val="autoZero"/>
        <c:auto val="1"/>
        <c:lblAlgn val="ctr"/>
        <c:lblOffset val="100"/>
        <c:noMultiLvlLbl val="0"/>
      </c:catAx>
      <c:valAx>
        <c:axId val="1561115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56111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Data.xlsx]Pivots!PivotTable2</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Product Category &amp; Sub-Category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solidFill>
              <a:schemeClr val="bg2">
                <a:lumMod val="50000"/>
              </a:schemeClr>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Pivots!$B$23</c:f>
              <c:strCache>
                <c:ptCount val="1"/>
                <c:pt idx="0">
                  <c:v>Sum of Sales</c:v>
                </c:pt>
              </c:strCache>
            </c:strRef>
          </c:tx>
          <c:spPr>
            <a:solidFill>
              <a:srgbClr val="00B050"/>
            </a:solidFill>
            <a:ln>
              <a:noFill/>
            </a:ln>
            <a:effectLst>
              <a:outerShdw blurRad="40000" dist="23000" dir="5400000" rotWithShape="0">
                <a:srgbClr val="000000">
                  <a:alpha val="35000"/>
                </a:srgbClr>
              </a:outerShdw>
            </a:effectLst>
          </c:spPr>
          <c:invertIfNegative val="0"/>
          <c:cat>
            <c:multiLvlStrRef>
              <c:f>Pivots!$A$24:$A$42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Pivots!$B$24:$B$42</c:f>
              <c:numCache>
                <c:formatCode>0.00</c:formatCode>
                <c:ptCount val="15"/>
                <c:pt idx="0">
                  <c:v>25199.600000000002</c:v>
                </c:pt>
                <c:pt idx="1">
                  <c:v>22324.699999999997</c:v>
                </c:pt>
                <c:pt idx="2">
                  <c:v>30276.499999999996</c:v>
                </c:pt>
                <c:pt idx="3">
                  <c:v>26586.1</c:v>
                </c:pt>
                <c:pt idx="4">
                  <c:v>26137.9</c:v>
                </c:pt>
                <c:pt idx="5">
                  <c:v>27049.9</c:v>
                </c:pt>
                <c:pt idx="6">
                  <c:v>28947.100000000002</c:v>
                </c:pt>
                <c:pt idx="7">
                  <c:v>29152</c:v>
                </c:pt>
                <c:pt idx="8">
                  <c:v>27397.300000000003</c:v>
                </c:pt>
                <c:pt idx="9">
                  <c:v>22126.299999999996</c:v>
                </c:pt>
                <c:pt idx="10">
                  <c:v>33057.599999999999</c:v>
                </c:pt>
                <c:pt idx="11">
                  <c:v>30542.700000000004</c:v>
                </c:pt>
                <c:pt idx="12">
                  <c:v>12091.300000000001</c:v>
                </c:pt>
                <c:pt idx="13">
                  <c:v>12977.9</c:v>
                </c:pt>
                <c:pt idx="14">
                  <c:v>15908.6</c:v>
                </c:pt>
              </c:numCache>
            </c:numRef>
          </c:val>
          <c:extLst>
            <c:ext xmlns:c16="http://schemas.microsoft.com/office/drawing/2014/chart" uri="{C3380CC4-5D6E-409C-BE32-E72D297353CC}">
              <c16:uniqueId val="{00000000-03AE-439D-B97B-83774C577E2D}"/>
            </c:ext>
          </c:extLst>
        </c:ser>
        <c:ser>
          <c:idx val="1"/>
          <c:order val="1"/>
          <c:tx>
            <c:strRef>
              <c:f>Pivots!$C$23</c:f>
              <c:strCache>
                <c:ptCount val="1"/>
                <c:pt idx="0">
                  <c:v>Sum of Profit</c:v>
                </c:pt>
              </c:strCache>
            </c:strRef>
          </c:tx>
          <c:spPr>
            <a:solidFill>
              <a:srgbClr val="FFFF00"/>
            </a:solidFill>
            <a:ln>
              <a:solidFill>
                <a:schemeClr val="bg2">
                  <a:lumMod val="50000"/>
                </a:schemeClr>
              </a:solidFill>
            </a:ln>
            <a:effectLst>
              <a:outerShdw blurRad="40000" dist="23000" dir="5400000" rotWithShape="0">
                <a:srgbClr val="000000">
                  <a:alpha val="35000"/>
                </a:srgbClr>
              </a:outerShdw>
            </a:effectLst>
          </c:spPr>
          <c:invertIfNegative val="0"/>
          <c:cat>
            <c:multiLvlStrRef>
              <c:f>Pivots!$A$24:$A$42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Pivots!$C$24:$C$42</c:f>
              <c:numCache>
                <c:formatCode>0.00</c:formatCode>
                <c:ptCount val="15"/>
                <c:pt idx="0">
                  <c:v>4343.3575000000001</c:v>
                </c:pt>
                <c:pt idx="1">
                  <c:v>2620.8861999999999</c:v>
                </c:pt>
                <c:pt idx="2">
                  <c:v>6431.9593999999997</c:v>
                </c:pt>
                <c:pt idx="3">
                  <c:v>4699.9035999999996</c:v>
                </c:pt>
                <c:pt idx="4">
                  <c:v>5667.1243999999988</c:v>
                </c:pt>
                <c:pt idx="5">
                  <c:v>5469.4885000000004</c:v>
                </c:pt>
                <c:pt idx="6">
                  <c:v>5626.7380999999996</c:v>
                </c:pt>
                <c:pt idx="7">
                  <c:v>5218.1848999999993</c:v>
                </c:pt>
                <c:pt idx="8">
                  <c:v>4772.2995999999985</c:v>
                </c:pt>
                <c:pt idx="9">
                  <c:v>3656.3435999999997</c:v>
                </c:pt>
                <c:pt idx="10">
                  <c:v>5265.9635999999991</c:v>
                </c:pt>
                <c:pt idx="11">
                  <c:v>4481.2840999999999</c:v>
                </c:pt>
                <c:pt idx="12">
                  <c:v>2086.0936000000002</c:v>
                </c:pt>
                <c:pt idx="13">
                  <c:v>2378.1685999999995</c:v>
                </c:pt>
                <c:pt idx="14">
                  <c:v>3760.4165000000003</c:v>
                </c:pt>
              </c:numCache>
            </c:numRef>
          </c:val>
          <c:extLst>
            <c:ext xmlns:c16="http://schemas.microsoft.com/office/drawing/2014/chart" uri="{C3380CC4-5D6E-409C-BE32-E72D297353CC}">
              <c16:uniqueId val="{00000001-03AE-439D-B97B-83774C577E2D}"/>
            </c:ext>
          </c:extLst>
        </c:ser>
        <c:dLbls>
          <c:showLegendKey val="0"/>
          <c:showVal val="0"/>
          <c:showCatName val="0"/>
          <c:showSerName val="0"/>
          <c:showPercent val="0"/>
          <c:showBubbleSize val="0"/>
        </c:dLbls>
        <c:gapWidth val="150"/>
        <c:overlap val="100"/>
        <c:axId val="1751460272"/>
        <c:axId val="1751460752"/>
      </c:barChart>
      <c:catAx>
        <c:axId val="1751460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460752"/>
        <c:crosses val="autoZero"/>
        <c:auto val="1"/>
        <c:lblAlgn val="ctr"/>
        <c:lblOffset val="100"/>
        <c:noMultiLvlLbl val="0"/>
      </c:catAx>
      <c:valAx>
        <c:axId val="175146075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46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Data.xlsx]Pivots!PivotTable3</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Customer Profitability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Pivots!$B$48</c:f>
              <c:strCache>
                <c:ptCount val="1"/>
                <c:pt idx="0">
                  <c:v>Sum of Profit</c:v>
                </c:pt>
              </c:strCache>
            </c:strRef>
          </c:tx>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Pivots!$A$49:$A$56</c:f>
              <c:strCache>
                <c:ptCount val="7"/>
                <c:pt idx="0">
                  <c:v>Alice</c:v>
                </c:pt>
                <c:pt idx="1">
                  <c:v>Bob</c:v>
                </c:pt>
                <c:pt idx="2">
                  <c:v>Charlie</c:v>
                </c:pt>
                <c:pt idx="3">
                  <c:v>David</c:v>
                </c:pt>
                <c:pt idx="4">
                  <c:v>Eva</c:v>
                </c:pt>
                <c:pt idx="5">
                  <c:v>Frank</c:v>
                </c:pt>
                <c:pt idx="6">
                  <c:v>Grace</c:v>
                </c:pt>
              </c:strCache>
            </c:strRef>
          </c:cat>
          <c:val>
            <c:numRef>
              <c:f>Pivots!$B$49:$B$56</c:f>
              <c:numCache>
                <c:formatCode>0.00</c:formatCode>
                <c:ptCount val="7"/>
                <c:pt idx="0">
                  <c:v>11169.6788</c:v>
                </c:pt>
                <c:pt idx="1">
                  <c:v>9167.9184999999998</c:v>
                </c:pt>
                <c:pt idx="2">
                  <c:v>9934.1299999999992</c:v>
                </c:pt>
                <c:pt idx="3">
                  <c:v>6742.8645000000006</c:v>
                </c:pt>
                <c:pt idx="4">
                  <c:v>9265.4056999999993</c:v>
                </c:pt>
                <c:pt idx="5">
                  <c:v>10893.732899999999</c:v>
                </c:pt>
                <c:pt idx="6">
                  <c:v>9304.4817999999977</c:v>
                </c:pt>
              </c:numCache>
            </c:numRef>
          </c:val>
          <c:extLst>
            <c:ext xmlns:c16="http://schemas.microsoft.com/office/drawing/2014/chart" uri="{C3380CC4-5D6E-409C-BE32-E72D297353CC}">
              <c16:uniqueId val="{00000000-2D66-4B55-B3D4-CD562B7B07FB}"/>
            </c:ext>
          </c:extLst>
        </c:ser>
        <c:ser>
          <c:idx val="1"/>
          <c:order val="1"/>
          <c:tx>
            <c:strRef>
              <c:f>Pivots!$C$48</c:f>
              <c:strCache>
                <c:ptCount val="1"/>
                <c:pt idx="0">
                  <c:v>Sum of Sales</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Pivots!$A$49:$A$56</c:f>
              <c:strCache>
                <c:ptCount val="7"/>
                <c:pt idx="0">
                  <c:v>Alice</c:v>
                </c:pt>
                <c:pt idx="1">
                  <c:v>Bob</c:v>
                </c:pt>
                <c:pt idx="2">
                  <c:v>Charlie</c:v>
                </c:pt>
                <c:pt idx="3">
                  <c:v>David</c:v>
                </c:pt>
                <c:pt idx="4">
                  <c:v>Eva</c:v>
                </c:pt>
                <c:pt idx="5">
                  <c:v>Frank</c:v>
                </c:pt>
                <c:pt idx="6">
                  <c:v>Grace</c:v>
                </c:pt>
              </c:strCache>
            </c:strRef>
          </c:cat>
          <c:val>
            <c:numRef>
              <c:f>Pivots!$C$49:$C$56</c:f>
              <c:numCache>
                <c:formatCode>0.00</c:formatCode>
                <c:ptCount val="7"/>
                <c:pt idx="0">
                  <c:v>64640.9</c:v>
                </c:pt>
                <c:pt idx="1">
                  <c:v>51155.299999999988</c:v>
                </c:pt>
                <c:pt idx="2">
                  <c:v>53221.000000000007</c:v>
                </c:pt>
                <c:pt idx="3">
                  <c:v>43663.999999999993</c:v>
                </c:pt>
                <c:pt idx="4">
                  <c:v>45684.600000000006</c:v>
                </c:pt>
                <c:pt idx="5">
                  <c:v>63642.599999999991</c:v>
                </c:pt>
                <c:pt idx="6">
                  <c:v>47767.100000000006</c:v>
                </c:pt>
              </c:numCache>
            </c:numRef>
          </c:val>
          <c:extLst>
            <c:ext xmlns:c16="http://schemas.microsoft.com/office/drawing/2014/chart" uri="{C3380CC4-5D6E-409C-BE32-E72D297353CC}">
              <c16:uniqueId val="{00000001-2D66-4B55-B3D4-CD562B7B07FB}"/>
            </c:ext>
          </c:extLst>
        </c:ser>
        <c:dLbls>
          <c:dLblPos val="outEnd"/>
          <c:showLegendKey val="0"/>
          <c:showVal val="1"/>
          <c:showCatName val="0"/>
          <c:showSerName val="0"/>
          <c:showPercent val="0"/>
          <c:showBubbleSize val="0"/>
        </c:dLbls>
        <c:gapWidth val="115"/>
        <c:overlap val="-20"/>
        <c:axId val="1751476592"/>
        <c:axId val="1751484752"/>
      </c:barChart>
      <c:catAx>
        <c:axId val="1751476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484752"/>
        <c:crosses val="autoZero"/>
        <c:auto val="1"/>
        <c:lblAlgn val="ctr"/>
        <c:lblOffset val="100"/>
        <c:noMultiLvlLbl val="0"/>
      </c:catAx>
      <c:valAx>
        <c:axId val="1751484752"/>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47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Data.xlsx]Pivots!PivotTable4</c:name>
    <c:fmtId val="1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Discount Impact on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Pivots!$A$69:$A$73</c:f>
              <c:strCache>
                <c:ptCount val="4"/>
                <c:pt idx="0">
                  <c:v>0</c:v>
                </c:pt>
                <c:pt idx="1">
                  <c:v>0.1</c:v>
                </c:pt>
                <c:pt idx="2">
                  <c:v>0.2</c:v>
                </c:pt>
                <c:pt idx="3">
                  <c:v>0.3</c:v>
                </c:pt>
              </c:strCache>
            </c:strRef>
          </c:cat>
          <c:val>
            <c:numRef>
              <c:f>Pivots!$B$69:$B$73</c:f>
              <c:numCache>
                <c:formatCode>0.00</c:formatCode>
                <c:ptCount val="4"/>
                <c:pt idx="0">
                  <c:v>255.52039000000005</c:v>
                </c:pt>
                <c:pt idx="1">
                  <c:v>175.4871150684931</c:v>
                </c:pt>
                <c:pt idx="2">
                  <c:v>137.28899795918366</c:v>
                </c:pt>
                <c:pt idx="3">
                  <c:v>217.82287619047617</c:v>
                </c:pt>
              </c:numCache>
            </c:numRef>
          </c:val>
          <c:extLst>
            <c:ext xmlns:c16="http://schemas.microsoft.com/office/drawing/2014/chart" uri="{C3380CC4-5D6E-409C-BE32-E72D297353CC}">
              <c16:uniqueId val="{00000000-0318-45A8-A8A5-090D3A712093}"/>
            </c:ext>
          </c:extLst>
        </c:ser>
        <c:dLbls>
          <c:dLblPos val="outEnd"/>
          <c:showLegendKey val="0"/>
          <c:showVal val="1"/>
          <c:showCatName val="0"/>
          <c:showSerName val="0"/>
          <c:showPercent val="0"/>
          <c:showBubbleSize val="0"/>
        </c:dLbls>
        <c:gapWidth val="100"/>
        <c:overlap val="-24"/>
        <c:axId val="1751382512"/>
        <c:axId val="1751399312"/>
      </c:barChart>
      <c:catAx>
        <c:axId val="1751382512"/>
        <c:scaling>
          <c:orientation val="minMax"/>
        </c:scaling>
        <c:delete val="0"/>
        <c:axPos val="b"/>
        <c:numFmt formatCode="0.0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399312"/>
        <c:crosses val="autoZero"/>
        <c:auto val="1"/>
        <c:lblAlgn val="ctr"/>
        <c:lblOffset val="100"/>
        <c:noMultiLvlLbl val="0"/>
      </c:catAx>
      <c:valAx>
        <c:axId val="1751399312"/>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38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Data.xlsx]Pivots!PivotTable5</c:name>
    <c:fmtId val="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Monthly Sales Trend &amp; Forecasting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Pivots!$B$87</c:f>
              <c:strCache>
                <c:ptCount val="1"/>
                <c:pt idx="0">
                  <c:v>Sum of Sales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Pivots!$A$88:$A$98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Pivots!$B$88:$B$98</c:f>
              <c:numCache>
                <c:formatCode>General</c:formatCode>
                <c:ptCount val="10"/>
                <c:pt idx="0">
                  <c:v>39118.9</c:v>
                </c:pt>
                <c:pt idx="1">
                  <c:v>35999.399999999994</c:v>
                </c:pt>
                <c:pt idx="2">
                  <c:v>41883.899999999987</c:v>
                </c:pt>
                <c:pt idx="3">
                  <c:v>42144.600000000006</c:v>
                </c:pt>
                <c:pt idx="4">
                  <c:v>35355.100000000006</c:v>
                </c:pt>
                <c:pt idx="5">
                  <c:v>33264.199999999997</c:v>
                </c:pt>
                <c:pt idx="6">
                  <c:v>38407.499999999993</c:v>
                </c:pt>
                <c:pt idx="7">
                  <c:v>39949.399999999994</c:v>
                </c:pt>
                <c:pt idx="8">
                  <c:v>36232.300000000003</c:v>
                </c:pt>
                <c:pt idx="9">
                  <c:v>27420.200000000008</c:v>
                </c:pt>
              </c:numCache>
            </c:numRef>
          </c:val>
          <c:smooth val="0"/>
          <c:extLst>
            <c:ext xmlns:c16="http://schemas.microsoft.com/office/drawing/2014/chart" uri="{C3380CC4-5D6E-409C-BE32-E72D297353CC}">
              <c16:uniqueId val="{00000000-EDCE-4F62-8B0E-49ED529C9BD7}"/>
            </c:ext>
          </c:extLst>
        </c:ser>
        <c:ser>
          <c:idx val="1"/>
          <c:order val="1"/>
          <c:tx>
            <c:strRef>
              <c:f>Pivots!$C$87</c:f>
              <c:strCache>
                <c:ptCount val="1"/>
                <c:pt idx="0">
                  <c:v>Sum of Profit</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Pivots!$A$88:$A$98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Pivots!$C$88:$C$98</c:f>
              <c:numCache>
                <c:formatCode>0.00</c:formatCode>
                <c:ptCount val="10"/>
                <c:pt idx="0">
                  <c:v>6583.0669999999991</c:v>
                </c:pt>
                <c:pt idx="1">
                  <c:v>6898.1298999999999</c:v>
                </c:pt>
                <c:pt idx="2">
                  <c:v>7419.3084999999992</c:v>
                </c:pt>
                <c:pt idx="3">
                  <c:v>7454.4203000000007</c:v>
                </c:pt>
                <c:pt idx="4">
                  <c:v>5823.3858999999993</c:v>
                </c:pt>
                <c:pt idx="5">
                  <c:v>6176.4647999999997</c:v>
                </c:pt>
                <c:pt idx="6">
                  <c:v>6973.3748999999998</c:v>
                </c:pt>
                <c:pt idx="7">
                  <c:v>7307.0416000000014</c:v>
                </c:pt>
                <c:pt idx="8">
                  <c:v>6998.4026999999996</c:v>
                </c:pt>
                <c:pt idx="9">
                  <c:v>4844.6165999999994</c:v>
                </c:pt>
              </c:numCache>
            </c:numRef>
          </c:val>
          <c:smooth val="0"/>
          <c:extLst>
            <c:ext xmlns:c16="http://schemas.microsoft.com/office/drawing/2014/chart" uri="{C3380CC4-5D6E-409C-BE32-E72D297353CC}">
              <c16:uniqueId val="{00000001-EDCE-4F62-8B0E-49ED529C9BD7}"/>
            </c:ext>
          </c:extLst>
        </c:ser>
        <c:dLbls>
          <c:showLegendKey val="0"/>
          <c:showVal val="0"/>
          <c:showCatName val="0"/>
          <c:showSerName val="0"/>
          <c:showPercent val="0"/>
          <c:showBubbleSize val="0"/>
        </c:dLbls>
        <c:marker val="1"/>
        <c:smooth val="0"/>
        <c:axId val="283374031"/>
        <c:axId val="283361071"/>
      </c:lineChart>
      <c:catAx>
        <c:axId val="2833740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3361071"/>
        <c:crosses val="autoZero"/>
        <c:auto val="1"/>
        <c:lblAlgn val="ctr"/>
        <c:lblOffset val="100"/>
        <c:noMultiLvlLbl val="0"/>
      </c:catAx>
      <c:valAx>
        <c:axId val="28336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337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Data.xlsx]Pivots!PivotTable6</c:name>
    <c:fmtId val="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Top Product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Pivots!$B$107</c:f>
              <c:strCache>
                <c:ptCount val="1"/>
                <c:pt idx="0">
                  <c:v>Sum of Profit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038-4FD8-8DC1-4B0DD10638B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38-4FD8-8DC1-4B0DD10638B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38-4FD8-8DC1-4B0DD10638B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38-4FD8-8DC1-4B0DD10638B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038-4FD8-8DC1-4B0DD10638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Pivots!$A$108:$A$113</c:f>
              <c:strCache>
                <c:ptCount val="5"/>
                <c:pt idx="0">
                  <c:v>Accessories</c:v>
                </c:pt>
                <c:pt idx="1">
                  <c:v>Binders</c:v>
                </c:pt>
                <c:pt idx="2">
                  <c:v>Chairs</c:v>
                </c:pt>
                <c:pt idx="3">
                  <c:v>Phones</c:v>
                </c:pt>
                <c:pt idx="4">
                  <c:v>Tables</c:v>
                </c:pt>
              </c:strCache>
            </c:strRef>
          </c:cat>
          <c:val>
            <c:numRef>
              <c:f>Pivots!$B$108:$B$113</c:f>
              <c:numCache>
                <c:formatCode>0.00</c:formatCode>
                <c:ptCount val="5"/>
                <c:pt idx="0">
                  <c:v>15078.809599999995</c:v>
                </c:pt>
                <c:pt idx="1">
                  <c:v>12728.908399999998</c:v>
                </c:pt>
                <c:pt idx="2">
                  <c:v>13736.2379</c:v>
                </c:pt>
                <c:pt idx="3">
                  <c:v>11850.371800000003</c:v>
                </c:pt>
                <c:pt idx="4">
                  <c:v>13083.884499999995</c:v>
                </c:pt>
              </c:numCache>
            </c:numRef>
          </c:val>
          <c:extLst>
            <c:ext xmlns:c16="http://schemas.microsoft.com/office/drawing/2014/chart" uri="{C3380CC4-5D6E-409C-BE32-E72D297353CC}">
              <c16:uniqueId val="{0000000A-A038-4FD8-8DC1-4B0DD10638B2}"/>
            </c:ext>
          </c:extLst>
        </c:ser>
        <c:ser>
          <c:idx val="1"/>
          <c:order val="1"/>
          <c:tx>
            <c:strRef>
              <c:f>Pivots!$C$107</c:f>
              <c:strCache>
                <c:ptCount val="1"/>
                <c:pt idx="0">
                  <c:v>Sum of 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A038-4FD8-8DC1-4B0DD10638B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A038-4FD8-8DC1-4B0DD10638B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A038-4FD8-8DC1-4B0DD10638B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A038-4FD8-8DC1-4B0DD10638B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A038-4FD8-8DC1-4B0DD10638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Pivots!$A$108:$A$113</c:f>
              <c:strCache>
                <c:ptCount val="5"/>
                <c:pt idx="0">
                  <c:v>Accessories</c:v>
                </c:pt>
                <c:pt idx="1">
                  <c:v>Binders</c:v>
                </c:pt>
                <c:pt idx="2">
                  <c:v>Chairs</c:v>
                </c:pt>
                <c:pt idx="3">
                  <c:v>Phones</c:v>
                </c:pt>
                <c:pt idx="4">
                  <c:v>Tables</c:v>
                </c:pt>
              </c:strCache>
            </c:strRef>
          </c:cat>
          <c:val>
            <c:numRef>
              <c:f>Pivots!$C$108:$C$113</c:f>
              <c:numCache>
                <c:formatCode>0.00</c:formatCode>
                <c:ptCount val="5"/>
                <c:pt idx="0">
                  <c:v>85307.1</c:v>
                </c:pt>
                <c:pt idx="1">
                  <c:v>81814.499999999985</c:v>
                </c:pt>
                <c:pt idx="2">
                  <c:v>71519.8</c:v>
                </c:pt>
                <c:pt idx="3">
                  <c:v>66961.300000000017</c:v>
                </c:pt>
                <c:pt idx="4">
                  <c:v>64172.799999999988</c:v>
                </c:pt>
              </c:numCache>
            </c:numRef>
          </c:val>
          <c:extLst>
            <c:ext xmlns:c16="http://schemas.microsoft.com/office/drawing/2014/chart" uri="{C3380CC4-5D6E-409C-BE32-E72D297353CC}">
              <c16:uniqueId val="{00000015-A038-4FD8-8DC1-4B0DD10638B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ivots!A1"/><Relationship Id="rId13" Type="http://schemas.openxmlformats.org/officeDocument/2006/relationships/image" Target="../media/image4.sv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3.png"/><Relationship Id="rId2" Type="http://schemas.openxmlformats.org/officeDocument/2006/relationships/chart" Target="../charts/chart8.xml"/><Relationship Id="rId16" Type="http://schemas.openxmlformats.org/officeDocument/2006/relationships/image" Target="../media/image6.svg"/><Relationship Id="rId1" Type="http://schemas.openxmlformats.org/officeDocument/2006/relationships/hyperlink" Target="#'PivotTables &amp; PivotCharts'!A1"/><Relationship Id="rId6" Type="http://schemas.openxmlformats.org/officeDocument/2006/relationships/chart" Target="../charts/chart12.xml"/><Relationship Id="rId11" Type="http://schemas.openxmlformats.org/officeDocument/2006/relationships/hyperlink" Target="#'Cleaned Data'!A1"/><Relationship Id="rId5" Type="http://schemas.openxmlformats.org/officeDocument/2006/relationships/chart" Target="../charts/chart11.xml"/><Relationship Id="rId15" Type="http://schemas.openxmlformats.org/officeDocument/2006/relationships/image" Target="../media/image5.png"/><Relationship Id="rId10" Type="http://schemas.openxmlformats.org/officeDocument/2006/relationships/image" Target="../media/image2.svg"/><Relationship Id="rId4" Type="http://schemas.openxmlformats.org/officeDocument/2006/relationships/chart" Target="../charts/chart10.xml"/><Relationship Id="rId9" Type="http://schemas.openxmlformats.org/officeDocument/2006/relationships/image" Target="../media/image1.png"/><Relationship Id="rId14" Type="http://schemas.openxmlformats.org/officeDocument/2006/relationships/hyperlink" Target="#Data!A1"/></Relationships>
</file>

<file path=xl/drawings/drawing1.xml><?xml version="1.0" encoding="utf-8"?>
<xdr:wsDr xmlns:xdr="http://schemas.openxmlformats.org/drawingml/2006/spreadsheetDrawing" xmlns:a="http://schemas.openxmlformats.org/drawingml/2006/main">
  <xdr:twoCellAnchor>
    <xdr:from>
      <xdr:col>4</xdr:col>
      <xdr:colOff>9525</xdr:colOff>
      <xdr:row>1</xdr:row>
      <xdr:rowOff>190499</xdr:rowOff>
    </xdr:from>
    <xdr:to>
      <xdr:col>11</xdr:col>
      <xdr:colOff>0</xdr:colOff>
      <xdr:row>16</xdr:row>
      <xdr:rowOff>180974</xdr:rowOff>
    </xdr:to>
    <xdr:graphicFrame macro="">
      <xdr:nvGraphicFramePr>
        <xdr:cNvPr id="2" name="Chart 1">
          <a:extLst>
            <a:ext uri="{FF2B5EF4-FFF2-40B4-BE49-F238E27FC236}">
              <a16:creationId xmlns:a16="http://schemas.microsoft.com/office/drawing/2014/main" id="{AB3CE2AD-3D8D-4A41-04D2-C82EFA868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21</xdr:row>
      <xdr:rowOff>190499</xdr:rowOff>
    </xdr:from>
    <xdr:to>
      <xdr:col>11</xdr:col>
      <xdr:colOff>0</xdr:colOff>
      <xdr:row>36</xdr:row>
      <xdr:rowOff>180974</xdr:rowOff>
    </xdr:to>
    <xdr:graphicFrame macro="">
      <xdr:nvGraphicFramePr>
        <xdr:cNvPr id="3" name="Chart 2">
          <a:extLst>
            <a:ext uri="{FF2B5EF4-FFF2-40B4-BE49-F238E27FC236}">
              <a16:creationId xmlns:a16="http://schemas.microsoft.com/office/drawing/2014/main" id="{3E820D7A-0D72-72EB-3007-5B5F5AC65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47</xdr:row>
      <xdr:rowOff>0</xdr:rowOff>
    </xdr:from>
    <xdr:to>
      <xdr:col>11</xdr:col>
      <xdr:colOff>0</xdr:colOff>
      <xdr:row>62</xdr:row>
      <xdr:rowOff>0</xdr:rowOff>
    </xdr:to>
    <xdr:graphicFrame macro="">
      <xdr:nvGraphicFramePr>
        <xdr:cNvPr id="4" name="Chart 3">
          <a:extLst>
            <a:ext uri="{FF2B5EF4-FFF2-40B4-BE49-F238E27FC236}">
              <a16:creationId xmlns:a16="http://schemas.microsoft.com/office/drawing/2014/main" id="{5D892EC9-5437-8F02-0A98-9CF432F88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66</xdr:row>
      <xdr:rowOff>0</xdr:rowOff>
    </xdr:from>
    <xdr:to>
      <xdr:col>8</xdr:col>
      <xdr:colOff>1</xdr:colOff>
      <xdr:row>81</xdr:row>
      <xdr:rowOff>0</xdr:rowOff>
    </xdr:to>
    <xdr:graphicFrame macro="">
      <xdr:nvGraphicFramePr>
        <xdr:cNvPr id="6" name="Chart 5">
          <a:extLst>
            <a:ext uri="{FF2B5EF4-FFF2-40B4-BE49-F238E27FC236}">
              <a16:creationId xmlns:a16="http://schemas.microsoft.com/office/drawing/2014/main" id="{CFB95A7B-0656-2838-44C8-EC0BB9952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xdr:colOff>
      <xdr:row>85</xdr:row>
      <xdr:rowOff>190499</xdr:rowOff>
    </xdr:from>
    <xdr:to>
      <xdr:col>10</xdr:col>
      <xdr:colOff>1</xdr:colOff>
      <xdr:row>100</xdr:row>
      <xdr:rowOff>180974</xdr:rowOff>
    </xdr:to>
    <xdr:graphicFrame macro="">
      <xdr:nvGraphicFramePr>
        <xdr:cNvPr id="7" name="Chart 6">
          <a:extLst>
            <a:ext uri="{FF2B5EF4-FFF2-40B4-BE49-F238E27FC236}">
              <a16:creationId xmlns:a16="http://schemas.microsoft.com/office/drawing/2014/main" id="{680060B8-F40D-F698-95CE-7EFC0F641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xdr:colOff>
      <xdr:row>105</xdr:row>
      <xdr:rowOff>190499</xdr:rowOff>
    </xdr:from>
    <xdr:to>
      <xdr:col>8</xdr:col>
      <xdr:colOff>0</xdr:colOff>
      <xdr:row>121</xdr:row>
      <xdr:rowOff>9524</xdr:rowOff>
    </xdr:to>
    <xdr:graphicFrame macro="">
      <xdr:nvGraphicFramePr>
        <xdr:cNvPr id="8" name="Chart 7">
          <a:extLst>
            <a:ext uri="{FF2B5EF4-FFF2-40B4-BE49-F238E27FC236}">
              <a16:creationId xmlns:a16="http://schemas.microsoft.com/office/drawing/2014/main" id="{AB94EAA6-C615-C943-D0C5-49671AAAC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0</xdr:colOff>
      <xdr:row>125</xdr:row>
      <xdr:rowOff>0</xdr:rowOff>
    </xdr:from>
    <xdr:to>
      <xdr:col>7</xdr:col>
      <xdr:colOff>76200</xdr:colOff>
      <xdr:row>137</xdr:row>
      <xdr:rowOff>66675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0FB83DE-C25A-987C-BEBF-7153A578F3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57600" y="2484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125</xdr:row>
      <xdr:rowOff>0</xdr:rowOff>
    </xdr:from>
    <xdr:to>
      <xdr:col>9</xdr:col>
      <xdr:colOff>171450</xdr:colOff>
      <xdr:row>137</xdr:row>
      <xdr:rowOff>66675</xdr:rowOff>
    </xdr:to>
    <mc:AlternateContent xmlns:mc="http://schemas.openxmlformats.org/markup-compatibility/2006" xmlns:a14="http://schemas.microsoft.com/office/drawing/2010/main">
      <mc:Choice Requires="a14">
        <xdr:graphicFrame macro="">
          <xdr:nvGraphicFramePr>
            <xdr:cNvPr id="13" name="Sub_Category">
              <a:extLst>
                <a:ext uri="{FF2B5EF4-FFF2-40B4-BE49-F238E27FC236}">
                  <a16:creationId xmlns:a16="http://schemas.microsoft.com/office/drawing/2014/main" id="{03058FEF-68CD-737E-8F10-86FC0D196531}"/>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5838825" y="2484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125</xdr:row>
      <xdr:rowOff>0</xdr:rowOff>
    </xdr:from>
    <xdr:to>
      <xdr:col>11</xdr:col>
      <xdr:colOff>180975</xdr:colOff>
      <xdr:row>137</xdr:row>
      <xdr:rowOff>66675</xdr:rowOff>
    </xdr:to>
    <mc:AlternateContent xmlns:mc="http://schemas.openxmlformats.org/markup-compatibility/2006" xmlns:a14="http://schemas.microsoft.com/office/drawing/2010/main">
      <mc:Choice Requires="a14">
        <xdr:graphicFrame macro="">
          <xdr:nvGraphicFramePr>
            <xdr:cNvPr id="14" name="Months (Order_Date)">
              <a:extLst>
                <a:ext uri="{FF2B5EF4-FFF2-40B4-BE49-F238E27FC236}">
                  <a16:creationId xmlns:a16="http://schemas.microsoft.com/office/drawing/2014/main" id="{DE70A96D-3978-0137-6408-152586BB2A54}"/>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8010525" y="2484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142</xdr:row>
      <xdr:rowOff>4762</xdr:rowOff>
    </xdr:from>
    <xdr:to>
      <xdr:col>15</xdr:col>
      <xdr:colOff>66675</xdr:colOff>
      <xdr:row>156</xdr:row>
      <xdr:rowOff>80962</xdr:rowOff>
    </xdr:to>
    <xdr:graphicFrame macro="">
      <xdr:nvGraphicFramePr>
        <xdr:cNvPr id="5" name="Chart 4">
          <a:extLst>
            <a:ext uri="{FF2B5EF4-FFF2-40B4-BE49-F238E27FC236}">
              <a16:creationId xmlns:a16="http://schemas.microsoft.com/office/drawing/2014/main" id="{1A004ED1-2A8E-4109-8CFE-CD1C5B38C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0</xdr:colOff>
      <xdr:row>142</xdr:row>
      <xdr:rowOff>9525</xdr:rowOff>
    </xdr:from>
    <xdr:to>
      <xdr:col>6</xdr:col>
      <xdr:colOff>161925</xdr:colOff>
      <xdr:row>155</xdr:row>
      <xdr:rowOff>57150</xdr:rowOff>
    </xdr:to>
    <mc:AlternateContent xmlns:mc="http://schemas.openxmlformats.org/markup-compatibility/2006" xmlns:a14="http://schemas.microsoft.com/office/drawing/2010/main">
      <mc:Choice Requires="a14">
        <xdr:graphicFrame macro="">
          <xdr:nvGraphicFramePr>
            <xdr:cNvPr id="9" name="Returned">
              <a:extLst>
                <a:ext uri="{FF2B5EF4-FFF2-40B4-BE49-F238E27FC236}">
                  <a16:creationId xmlns:a16="http://schemas.microsoft.com/office/drawing/2014/main" id="{DED22822-58A1-E99C-64C6-A09C1BC497CC}"/>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2543175" y="28260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141931</xdr:colOff>
      <xdr:row>0</xdr:row>
      <xdr:rowOff>134292</xdr:rowOff>
    </xdr:from>
    <xdr:to>
      <xdr:col>28</xdr:col>
      <xdr:colOff>600074</xdr:colOff>
      <xdr:row>6</xdr:row>
      <xdr:rowOff>48567</xdr:rowOff>
    </xdr:to>
    <xdr:sp macro="" textlink="">
      <xdr:nvSpPr>
        <xdr:cNvPr id="2" name="Rectangle: Rounded Corners 1">
          <a:extLst>
            <a:ext uri="{FF2B5EF4-FFF2-40B4-BE49-F238E27FC236}">
              <a16:creationId xmlns:a16="http://schemas.microsoft.com/office/drawing/2014/main" id="{AF31361D-61B8-1B76-D14F-A84E6AD8D1ED}"/>
            </a:ext>
          </a:extLst>
        </xdr:cNvPr>
        <xdr:cNvSpPr/>
      </xdr:nvSpPr>
      <xdr:spPr>
        <a:xfrm>
          <a:off x="141931" y="134292"/>
          <a:ext cx="17526943" cy="1057275"/>
        </a:xfrm>
        <a:prstGeom prst="roundRect">
          <a:avLst>
            <a:gd name="adj" fmla="val 7321"/>
          </a:avLst>
        </a:prstGeom>
        <a:solidFill>
          <a:schemeClr val="tx1">
            <a:lumMod val="75000"/>
            <a:lumOff val="25000"/>
          </a:schemeClr>
        </a:solidFill>
        <a:effectLst>
          <a:outerShdw blurRad="50800" dist="38100" dir="5400000" algn="t"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IN" sz="4800" b="1">
              <a:effectLst>
                <a:outerShdw blurRad="190500" dist="127000" dir="2700000" algn="tl" rotWithShape="0">
                  <a:prstClr val="black"/>
                </a:outerShdw>
              </a:effectLst>
            </a:rPr>
            <a:t>Superstore</a:t>
          </a:r>
          <a:r>
            <a:rPr lang="en-IN" sz="4800" b="1" baseline="0">
              <a:effectLst>
                <a:outerShdw blurRad="190500" dist="127000" dir="2700000" algn="tl" rotWithShape="0">
                  <a:prstClr val="black"/>
                </a:outerShdw>
              </a:effectLst>
            </a:rPr>
            <a:t> Sales Analysis</a:t>
          </a:r>
          <a:endParaRPr lang="en-IN" sz="4800" b="1">
            <a:effectLst>
              <a:outerShdw blurRad="190500" dist="127000" dir="2700000" algn="tl" rotWithShape="0">
                <a:prstClr val="black"/>
              </a:outerShdw>
            </a:effectLst>
          </a:endParaRPr>
        </a:p>
      </xdr:txBody>
    </xdr:sp>
    <xdr:clientData/>
  </xdr:twoCellAnchor>
  <xdr:twoCellAnchor>
    <xdr:from>
      <xdr:col>24</xdr:col>
      <xdr:colOff>333374</xdr:colOff>
      <xdr:row>6</xdr:row>
      <xdr:rowOff>95251</xdr:rowOff>
    </xdr:from>
    <xdr:to>
      <xdr:col>28</xdr:col>
      <xdr:colOff>600075</xdr:colOff>
      <xdr:row>22</xdr:row>
      <xdr:rowOff>114301</xdr:rowOff>
    </xdr:to>
    <xdr:sp macro="" textlink="">
      <xdr:nvSpPr>
        <xdr:cNvPr id="25" name="Rectangle: Rounded Corners 24">
          <a:extLst>
            <a:ext uri="{FF2B5EF4-FFF2-40B4-BE49-F238E27FC236}">
              <a16:creationId xmlns:a16="http://schemas.microsoft.com/office/drawing/2014/main" id="{3DB1EF6C-14E4-418D-A956-610F3091CA7A}"/>
            </a:ext>
          </a:extLst>
        </xdr:cNvPr>
        <xdr:cNvSpPr/>
      </xdr:nvSpPr>
      <xdr:spPr>
        <a:xfrm>
          <a:off x="14963774" y="1238251"/>
          <a:ext cx="2705101" cy="3067050"/>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0</xdr:col>
      <xdr:colOff>152399</xdr:colOff>
      <xdr:row>6</xdr:row>
      <xdr:rowOff>95250</xdr:rowOff>
    </xdr:from>
    <xdr:to>
      <xdr:col>4</xdr:col>
      <xdr:colOff>419100</xdr:colOff>
      <xdr:row>9</xdr:row>
      <xdr:rowOff>0</xdr:rowOff>
    </xdr:to>
    <xdr:sp macro="" textlink="">
      <xdr:nvSpPr>
        <xdr:cNvPr id="4" name="Rectangle: Rounded Corners 3">
          <a:extLst>
            <a:ext uri="{FF2B5EF4-FFF2-40B4-BE49-F238E27FC236}">
              <a16:creationId xmlns:a16="http://schemas.microsoft.com/office/drawing/2014/main" id="{29DDA4F4-3FE6-475E-BB05-8BF7650749B2}"/>
            </a:ext>
          </a:extLst>
        </xdr:cNvPr>
        <xdr:cNvSpPr/>
      </xdr:nvSpPr>
      <xdr:spPr>
        <a:xfrm>
          <a:off x="152399" y="1223689"/>
          <a:ext cx="2693453" cy="468970"/>
        </a:xfrm>
        <a:prstGeom prst="roundRect">
          <a:avLst>
            <a:gd name="adj" fmla="val 1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IN" sz="2000" b="1"/>
            <a:t>Sales</a:t>
          </a:r>
          <a:endParaRPr lang="en-IN" sz="2800" b="1"/>
        </a:p>
      </xdr:txBody>
    </xdr:sp>
    <xdr:clientData/>
  </xdr:twoCellAnchor>
  <xdr:twoCellAnchor>
    <xdr:from>
      <xdr:col>4</xdr:col>
      <xdr:colOff>523875</xdr:colOff>
      <xdr:row>6</xdr:row>
      <xdr:rowOff>104774</xdr:rowOff>
    </xdr:from>
    <xdr:to>
      <xdr:col>12</xdr:col>
      <xdr:colOff>352425</xdr:colOff>
      <xdr:row>22</xdr:row>
      <xdr:rowOff>76200</xdr:rowOff>
    </xdr:to>
    <xdr:sp macro="" textlink="">
      <xdr:nvSpPr>
        <xdr:cNvPr id="6" name="Rectangle: Rounded Corners 5">
          <a:extLst>
            <a:ext uri="{FF2B5EF4-FFF2-40B4-BE49-F238E27FC236}">
              <a16:creationId xmlns:a16="http://schemas.microsoft.com/office/drawing/2014/main" id="{EC9AA52B-BD2E-4276-ABCE-CB2DF1B1D502}"/>
            </a:ext>
          </a:extLst>
        </xdr:cNvPr>
        <xdr:cNvSpPr/>
      </xdr:nvSpPr>
      <xdr:spPr>
        <a:xfrm>
          <a:off x="2962275" y="1247774"/>
          <a:ext cx="4705350" cy="3019426"/>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4</xdr:col>
      <xdr:colOff>495301</xdr:colOff>
      <xdr:row>22</xdr:row>
      <xdr:rowOff>142876</xdr:rowOff>
    </xdr:from>
    <xdr:to>
      <xdr:col>15</xdr:col>
      <xdr:colOff>533401</xdr:colOff>
      <xdr:row>39</xdr:row>
      <xdr:rowOff>38100</xdr:rowOff>
    </xdr:to>
    <xdr:sp macro="" textlink="">
      <xdr:nvSpPr>
        <xdr:cNvPr id="7" name="Rectangle: Rounded Corners 6">
          <a:extLst>
            <a:ext uri="{FF2B5EF4-FFF2-40B4-BE49-F238E27FC236}">
              <a16:creationId xmlns:a16="http://schemas.microsoft.com/office/drawing/2014/main" id="{D396127A-5784-4260-A0EF-5DA6E22B07F8}"/>
            </a:ext>
          </a:extLst>
        </xdr:cNvPr>
        <xdr:cNvSpPr/>
      </xdr:nvSpPr>
      <xdr:spPr>
        <a:xfrm>
          <a:off x="2933701" y="4333876"/>
          <a:ext cx="6743700" cy="3133724"/>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12</xdr:col>
      <xdr:colOff>438150</xdr:colOff>
      <xdr:row>6</xdr:row>
      <xdr:rowOff>104776</xdr:rowOff>
    </xdr:from>
    <xdr:to>
      <xdr:col>24</xdr:col>
      <xdr:colOff>257175</xdr:colOff>
      <xdr:row>22</xdr:row>
      <xdr:rowOff>85726</xdr:rowOff>
    </xdr:to>
    <xdr:sp macro="" textlink="">
      <xdr:nvSpPr>
        <xdr:cNvPr id="8" name="Rectangle: Rounded Corners 7">
          <a:extLst>
            <a:ext uri="{FF2B5EF4-FFF2-40B4-BE49-F238E27FC236}">
              <a16:creationId xmlns:a16="http://schemas.microsoft.com/office/drawing/2014/main" id="{048152AC-FC35-40D5-B59A-AB1B5A83CC90}"/>
            </a:ext>
          </a:extLst>
        </xdr:cNvPr>
        <xdr:cNvSpPr/>
      </xdr:nvSpPr>
      <xdr:spPr>
        <a:xfrm>
          <a:off x="7753350" y="1247776"/>
          <a:ext cx="7134225" cy="3028950"/>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24</xdr:col>
      <xdr:colOff>361949</xdr:colOff>
      <xdr:row>23</xdr:row>
      <xdr:rowOff>0</xdr:rowOff>
    </xdr:from>
    <xdr:to>
      <xdr:col>28</xdr:col>
      <xdr:colOff>600074</xdr:colOff>
      <xdr:row>39</xdr:row>
      <xdr:rowOff>28575</xdr:rowOff>
    </xdr:to>
    <xdr:sp macro="" textlink="">
      <xdr:nvSpPr>
        <xdr:cNvPr id="10" name="Rectangle: Rounded Corners 9">
          <a:extLst>
            <a:ext uri="{FF2B5EF4-FFF2-40B4-BE49-F238E27FC236}">
              <a16:creationId xmlns:a16="http://schemas.microsoft.com/office/drawing/2014/main" id="{747FEE34-6A3B-42C5-AB6A-7B880A10AD2C}"/>
            </a:ext>
          </a:extLst>
        </xdr:cNvPr>
        <xdr:cNvSpPr/>
      </xdr:nvSpPr>
      <xdr:spPr>
        <a:xfrm>
          <a:off x="14992349" y="4381500"/>
          <a:ext cx="2676525" cy="3076575"/>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15</xdr:col>
      <xdr:colOff>600075</xdr:colOff>
      <xdr:row>22</xdr:row>
      <xdr:rowOff>152401</xdr:rowOff>
    </xdr:from>
    <xdr:to>
      <xdr:col>24</xdr:col>
      <xdr:colOff>285751</xdr:colOff>
      <xdr:row>39</xdr:row>
      <xdr:rowOff>38101</xdr:rowOff>
    </xdr:to>
    <xdr:sp macro="" textlink="">
      <xdr:nvSpPr>
        <xdr:cNvPr id="11" name="Rectangle: Rounded Corners 10">
          <a:extLst>
            <a:ext uri="{FF2B5EF4-FFF2-40B4-BE49-F238E27FC236}">
              <a16:creationId xmlns:a16="http://schemas.microsoft.com/office/drawing/2014/main" id="{D65917D9-2F85-4863-B2F0-B5FFB60D58B7}"/>
            </a:ext>
          </a:extLst>
        </xdr:cNvPr>
        <xdr:cNvSpPr/>
      </xdr:nvSpPr>
      <xdr:spPr>
        <a:xfrm>
          <a:off x="9744075" y="4343401"/>
          <a:ext cx="5172076" cy="3124200"/>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0</xdr:col>
      <xdr:colOff>142874</xdr:colOff>
      <xdr:row>16</xdr:row>
      <xdr:rowOff>92927</xdr:rowOff>
    </xdr:from>
    <xdr:to>
      <xdr:col>4</xdr:col>
      <xdr:colOff>418171</xdr:colOff>
      <xdr:row>39</xdr:row>
      <xdr:rowOff>47625</xdr:rowOff>
    </xdr:to>
    <xdr:sp macro="" textlink="">
      <xdr:nvSpPr>
        <xdr:cNvPr id="12" name="Rectangle: Rounded Corners 11">
          <a:extLst>
            <a:ext uri="{FF2B5EF4-FFF2-40B4-BE49-F238E27FC236}">
              <a16:creationId xmlns:a16="http://schemas.microsoft.com/office/drawing/2014/main" id="{48BC092B-CE80-44A3-9250-55301217504C}"/>
            </a:ext>
          </a:extLst>
        </xdr:cNvPr>
        <xdr:cNvSpPr/>
      </xdr:nvSpPr>
      <xdr:spPr>
        <a:xfrm>
          <a:off x="142874" y="3140927"/>
          <a:ext cx="2713697" cy="4336198"/>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0</xdr:col>
      <xdr:colOff>142874</xdr:colOff>
      <xdr:row>12</xdr:row>
      <xdr:rowOff>23232</xdr:rowOff>
    </xdr:from>
    <xdr:to>
      <xdr:col>4</xdr:col>
      <xdr:colOff>419100</xdr:colOff>
      <xdr:row>16</xdr:row>
      <xdr:rowOff>23232</xdr:rowOff>
    </xdr:to>
    <xdr:sp macro="" textlink="">
      <xdr:nvSpPr>
        <xdr:cNvPr id="15" name="Rectangle: Rounded Corners 14">
          <a:extLst>
            <a:ext uri="{FF2B5EF4-FFF2-40B4-BE49-F238E27FC236}">
              <a16:creationId xmlns:a16="http://schemas.microsoft.com/office/drawing/2014/main" id="{57F4E7CE-06C3-4616-8F95-DB51248E7EB7}"/>
            </a:ext>
          </a:extLst>
        </xdr:cNvPr>
        <xdr:cNvSpPr/>
      </xdr:nvSpPr>
      <xdr:spPr>
        <a:xfrm>
          <a:off x="142874" y="2346403"/>
          <a:ext cx="2723299" cy="774390"/>
        </a:xfrm>
        <a:prstGeom prst="roundRect">
          <a:avLst>
            <a:gd name="adj" fmla="val 4259"/>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IN" sz="2000" b="1" baseline="0"/>
            <a:t>Average of </a:t>
          </a:r>
        </a:p>
        <a:p>
          <a:pPr algn="l"/>
          <a:r>
            <a:rPr lang="en-IN" sz="2000" b="1" baseline="0"/>
            <a:t>Profit Margin</a:t>
          </a:r>
        </a:p>
      </xdr:txBody>
    </xdr:sp>
    <xdr:clientData/>
  </xdr:twoCellAnchor>
  <xdr:twoCellAnchor>
    <xdr:from>
      <xdr:col>0</xdr:col>
      <xdr:colOff>152399</xdr:colOff>
      <xdr:row>9</xdr:row>
      <xdr:rowOff>66676</xdr:rowOff>
    </xdr:from>
    <xdr:to>
      <xdr:col>4</xdr:col>
      <xdr:colOff>419100</xdr:colOff>
      <xdr:row>11</xdr:row>
      <xdr:rowOff>161926</xdr:rowOff>
    </xdr:to>
    <xdr:sp macro="" textlink="">
      <xdr:nvSpPr>
        <xdr:cNvPr id="16" name="Rectangle: Rounded Corners 15">
          <a:extLst>
            <a:ext uri="{FF2B5EF4-FFF2-40B4-BE49-F238E27FC236}">
              <a16:creationId xmlns:a16="http://schemas.microsoft.com/office/drawing/2014/main" id="{DABBEF5D-E973-4D4B-97AE-DB707F11C1D2}"/>
            </a:ext>
          </a:extLst>
        </xdr:cNvPr>
        <xdr:cNvSpPr/>
      </xdr:nvSpPr>
      <xdr:spPr>
        <a:xfrm>
          <a:off x="152399" y="1781176"/>
          <a:ext cx="2705101" cy="476250"/>
        </a:xfrm>
        <a:prstGeom prst="roundRect">
          <a:avLst>
            <a:gd name="adj" fmla="val 1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IN" sz="2000" b="1"/>
            <a:t>Profit</a:t>
          </a:r>
          <a:endParaRPr lang="en-IN" sz="2800" b="1"/>
        </a:p>
      </xdr:txBody>
    </xdr:sp>
    <xdr:clientData/>
  </xdr:twoCellAnchor>
  <xdr:oneCellAnchor>
    <xdr:from>
      <xdr:col>2</xdr:col>
      <xdr:colOff>457200</xdr:colOff>
      <xdr:row>7</xdr:row>
      <xdr:rowOff>28574</xdr:rowOff>
    </xdr:from>
    <xdr:ext cx="184731" cy="264560"/>
    <xdr:sp macro="" textlink="">
      <xdr:nvSpPr>
        <xdr:cNvPr id="17" name="TextBox 16">
          <a:hlinkClick xmlns:r="http://schemas.openxmlformats.org/officeDocument/2006/relationships" r:id="rId1"/>
          <a:extLst>
            <a:ext uri="{FF2B5EF4-FFF2-40B4-BE49-F238E27FC236}">
              <a16:creationId xmlns:a16="http://schemas.microsoft.com/office/drawing/2014/main" id="{E20182B8-45DB-8FF5-134B-D694BC2D962C}"/>
            </a:ext>
          </a:extLst>
        </xdr:cNvPr>
        <xdr:cNvSpPr txBox="1"/>
      </xdr:nvSpPr>
      <xdr:spPr>
        <a:xfrm>
          <a:off x="1670576" y="1345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476250</xdr:colOff>
      <xdr:row>6</xdr:row>
      <xdr:rowOff>85726</xdr:rowOff>
    </xdr:from>
    <xdr:to>
      <xdr:col>12</xdr:col>
      <xdr:colOff>295275</xdr:colOff>
      <xdr:row>21</xdr:row>
      <xdr:rowOff>180976</xdr:rowOff>
    </xdr:to>
    <xdr:graphicFrame macro="">
      <xdr:nvGraphicFramePr>
        <xdr:cNvPr id="20" name="Chart 19">
          <a:extLst>
            <a:ext uri="{FF2B5EF4-FFF2-40B4-BE49-F238E27FC236}">
              <a16:creationId xmlns:a16="http://schemas.microsoft.com/office/drawing/2014/main" id="{B5DCB776-F05E-4DF3-A522-09D7C0DE3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22</xdr:row>
      <xdr:rowOff>142875</xdr:rowOff>
    </xdr:from>
    <xdr:to>
      <xdr:col>15</xdr:col>
      <xdr:colOff>514349</xdr:colOff>
      <xdr:row>39</xdr:row>
      <xdr:rowOff>0</xdr:rowOff>
    </xdr:to>
    <xdr:graphicFrame macro="">
      <xdr:nvGraphicFramePr>
        <xdr:cNvPr id="21" name="Chart 20">
          <a:extLst>
            <a:ext uri="{FF2B5EF4-FFF2-40B4-BE49-F238E27FC236}">
              <a16:creationId xmlns:a16="http://schemas.microsoft.com/office/drawing/2014/main" id="{C44FAC59-0B5D-4B1F-ABB8-435FF715C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400049</xdr:colOff>
      <xdr:row>6</xdr:row>
      <xdr:rowOff>114300</xdr:rowOff>
    </xdr:from>
    <xdr:to>
      <xdr:col>24</xdr:col>
      <xdr:colOff>238125</xdr:colOff>
      <xdr:row>22</xdr:row>
      <xdr:rowOff>66675</xdr:rowOff>
    </xdr:to>
    <xdr:graphicFrame macro="">
      <xdr:nvGraphicFramePr>
        <xdr:cNvPr id="23" name="Chart 22">
          <a:extLst>
            <a:ext uri="{FF2B5EF4-FFF2-40B4-BE49-F238E27FC236}">
              <a16:creationId xmlns:a16="http://schemas.microsoft.com/office/drawing/2014/main" id="{13CA7045-0711-40A9-80EE-50539264F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314325</xdr:colOff>
      <xdr:row>6</xdr:row>
      <xdr:rowOff>180976</xdr:rowOff>
    </xdr:from>
    <xdr:to>
      <xdr:col>28</xdr:col>
      <xdr:colOff>571500</xdr:colOff>
      <xdr:row>22</xdr:row>
      <xdr:rowOff>114300</xdr:rowOff>
    </xdr:to>
    <xdr:graphicFrame macro="">
      <xdr:nvGraphicFramePr>
        <xdr:cNvPr id="24" name="Chart 23">
          <a:extLst>
            <a:ext uri="{FF2B5EF4-FFF2-40B4-BE49-F238E27FC236}">
              <a16:creationId xmlns:a16="http://schemas.microsoft.com/office/drawing/2014/main" id="{2C5C31E0-5BB1-4D1F-A0A4-40B108D63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590549</xdr:colOff>
      <xdr:row>22</xdr:row>
      <xdr:rowOff>161925</xdr:rowOff>
    </xdr:from>
    <xdr:to>
      <xdr:col>24</xdr:col>
      <xdr:colOff>295274</xdr:colOff>
      <xdr:row>39</xdr:row>
      <xdr:rowOff>0</xdr:rowOff>
    </xdr:to>
    <xdr:graphicFrame macro="">
      <xdr:nvGraphicFramePr>
        <xdr:cNvPr id="26" name="Chart 25">
          <a:extLst>
            <a:ext uri="{FF2B5EF4-FFF2-40B4-BE49-F238E27FC236}">
              <a16:creationId xmlns:a16="http://schemas.microsoft.com/office/drawing/2014/main" id="{8999084D-DA92-4F72-9E94-2E2D9BAF4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361950</xdr:colOff>
      <xdr:row>23</xdr:row>
      <xdr:rowOff>9524</xdr:rowOff>
    </xdr:from>
    <xdr:to>
      <xdr:col>29</xdr:col>
      <xdr:colOff>19049</xdr:colOff>
      <xdr:row>38</xdr:row>
      <xdr:rowOff>171449</xdr:rowOff>
    </xdr:to>
    <xdr:graphicFrame macro="">
      <xdr:nvGraphicFramePr>
        <xdr:cNvPr id="27" name="Chart 26">
          <a:extLst>
            <a:ext uri="{FF2B5EF4-FFF2-40B4-BE49-F238E27FC236}">
              <a16:creationId xmlns:a16="http://schemas.microsoft.com/office/drawing/2014/main" id="{434B4692-C5F2-4BDC-8B4C-5C217F16F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209550</xdr:colOff>
      <xdr:row>16</xdr:row>
      <xdr:rowOff>185083</xdr:rowOff>
    </xdr:from>
    <xdr:to>
      <xdr:col>4</xdr:col>
      <xdr:colOff>342900</xdr:colOff>
      <xdr:row>21</xdr:row>
      <xdr:rowOff>185083</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B1D682F6-D210-4E2F-ADAF-B9BDF75E5B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9550" y="3233083"/>
              <a:ext cx="257175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219074</xdr:colOff>
      <xdr:row>22</xdr:row>
      <xdr:rowOff>24642</xdr:rowOff>
    </xdr:from>
    <xdr:to>
      <xdr:col>4</xdr:col>
      <xdr:colOff>342900</xdr:colOff>
      <xdr:row>26</xdr:row>
      <xdr:rowOff>188927</xdr:rowOff>
    </xdr:to>
    <mc:AlternateContent xmlns:mc="http://schemas.openxmlformats.org/markup-compatibility/2006" xmlns:a14="http://schemas.microsoft.com/office/drawing/2010/main">
      <mc:Choice Requires="a14">
        <xdr:graphicFrame macro="">
          <xdr:nvGraphicFramePr>
            <xdr:cNvPr id="29" name="Sub_Category 1">
              <a:extLst>
                <a:ext uri="{FF2B5EF4-FFF2-40B4-BE49-F238E27FC236}">
                  <a16:creationId xmlns:a16="http://schemas.microsoft.com/office/drawing/2014/main" id="{F4F786EB-FDEB-4B29-9902-33730D16CDE4}"/>
                </a:ext>
              </a:extLst>
            </xdr:cNvPr>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mlns="">
        <xdr:sp macro="" textlink="">
          <xdr:nvSpPr>
            <xdr:cNvPr id="0" name=""/>
            <xdr:cNvSpPr>
              <a:spLocks noTextEdit="1"/>
            </xdr:cNvSpPr>
          </xdr:nvSpPr>
          <xdr:spPr>
            <a:xfrm>
              <a:off x="219074" y="4215642"/>
              <a:ext cx="2562226" cy="926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219074</xdr:colOff>
      <xdr:row>27</xdr:row>
      <xdr:rowOff>22283</xdr:rowOff>
    </xdr:from>
    <xdr:to>
      <xdr:col>4</xdr:col>
      <xdr:colOff>340803</xdr:colOff>
      <xdr:row>38</xdr:row>
      <xdr:rowOff>177829</xdr:rowOff>
    </xdr:to>
    <mc:AlternateContent xmlns:mc="http://schemas.openxmlformats.org/markup-compatibility/2006" xmlns:a14="http://schemas.microsoft.com/office/drawing/2010/main">
      <mc:Choice Requires="a14">
        <xdr:graphicFrame macro="">
          <xdr:nvGraphicFramePr>
            <xdr:cNvPr id="30" name="Months (Order_Date) 1">
              <a:extLst>
                <a:ext uri="{FF2B5EF4-FFF2-40B4-BE49-F238E27FC236}">
                  <a16:creationId xmlns:a16="http://schemas.microsoft.com/office/drawing/2014/main" id="{35EF3817-6A23-42BA-8857-304E186EEFF9}"/>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219074" y="5165783"/>
              <a:ext cx="2560129" cy="2251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171451</xdr:colOff>
      <xdr:row>7</xdr:row>
      <xdr:rowOff>36634</xdr:rowOff>
    </xdr:from>
    <xdr:to>
      <xdr:col>4</xdr:col>
      <xdr:colOff>514351</xdr:colOff>
      <xdr:row>8</xdr:row>
      <xdr:rowOff>110694</xdr:rowOff>
    </xdr:to>
    <xdr:sp macro="" textlink="Pivots!$A$129">
      <xdr:nvSpPr>
        <xdr:cNvPr id="37" name="TextBox 36">
          <a:extLst>
            <a:ext uri="{FF2B5EF4-FFF2-40B4-BE49-F238E27FC236}">
              <a16:creationId xmlns:a16="http://schemas.microsoft.com/office/drawing/2014/main" id="{7923C724-533A-D084-9C97-03EC1850BAB2}"/>
            </a:ext>
          </a:extLst>
        </xdr:cNvPr>
        <xdr:cNvSpPr txBox="1"/>
      </xdr:nvSpPr>
      <xdr:spPr>
        <a:xfrm>
          <a:off x="1398711" y="1382956"/>
          <a:ext cx="1570159" cy="266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EB7C8A-FAB9-4A60-A310-3C2A52579B86}" type="TxLink">
            <a:rPr lang="en-US" sz="1600" b="1" i="0" u="none" strike="noStrike">
              <a:ln>
                <a:noFill/>
              </a:ln>
              <a:solidFill>
                <a:schemeClr val="bg1"/>
              </a:solidFill>
              <a:latin typeface="Calibri"/>
              <a:ea typeface="Calibri"/>
              <a:cs typeface="Calibri"/>
            </a:rPr>
            <a:pPr algn="ctr"/>
            <a:t> $3,69,775.50 </a:t>
          </a:fld>
          <a:endParaRPr lang="en-IN" sz="1600" b="1">
            <a:ln>
              <a:noFill/>
            </a:ln>
            <a:solidFill>
              <a:schemeClr val="bg1"/>
            </a:solidFill>
          </a:endParaRPr>
        </a:p>
      </xdr:txBody>
    </xdr:sp>
    <xdr:clientData/>
  </xdr:twoCellAnchor>
  <xdr:twoCellAnchor>
    <xdr:from>
      <xdr:col>2</xdr:col>
      <xdr:colOff>419100</xdr:colOff>
      <xdr:row>10</xdr:row>
      <xdr:rowOff>0</xdr:rowOff>
    </xdr:from>
    <xdr:to>
      <xdr:col>4</xdr:col>
      <xdr:colOff>419100</xdr:colOff>
      <xdr:row>11</xdr:row>
      <xdr:rowOff>0</xdr:rowOff>
    </xdr:to>
    <xdr:sp macro="" textlink="Pivots!$B$129">
      <xdr:nvSpPr>
        <xdr:cNvPr id="39" name="TextBox 38">
          <a:extLst>
            <a:ext uri="{FF2B5EF4-FFF2-40B4-BE49-F238E27FC236}">
              <a16:creationId xmlns:a16="http://schemas.microsoft.com/office/drawing/2014/main" id="{BFB5E3F4-9A44-DF1A-4157-27BEEE70E505}"/>
            </a:ext>
          </a:extLst>
        </xdr:cNvPr>
        <xdr:cNvSpPr txBox="1"/>
      </xdr:nvSpPr>
      <xdr:spPr>
        <a:xfrm>
          <a:off x="1646360" y="1923317"/>
          <a:ext cx="1227259" cy="192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38354A-D4CA-44BF-9E31-781C72E29BAA}" type="TxLink">
            <a:rPr lang="en-US" sz="1600" b="1" i="0" u="none" strike="noStrike">
              <a:ln>
                <a:noFill/>
              </a:ln>
              <a:solidFill>
                <a:schemeClr val="bg1"/>
              </a:solidFill>
              <a:latin typeface="Calibri"/>
              <a:ea typeface="Calibri"/>
              <a:cs typeface="Calibri"/>
            </a:rPr>
            <a:pPr marL="0" indent="0" algn="ctr"/>
            <a:t> $66,478.21 </a:t>
          </a:fld>
          <a:endParaRPr lang="en-IN" sz="1600" b="1" i="0" u="none" strike="noStrike">
            <a:ln>
              <a:noFill/>
            </a:ln>
            <a:solidFill>
              <a:schemeClr val="bg1"/>
            </a:solidFill>
            <a:latin typeface="Calibri"/>
            <a:ea typeface="Calibri"/>
            <a:cs typeface="Calibri"/>
          </a:endParaRPr>
        </a:p>
      </xdr:txBody>
    </xdr:sp>
    <xdr:clientData/>
  </xdr:twoCellAnchor>
  <xdr:twoCellAnchor>
    <xdr:from>
      <xdr:col>3</xdr:col>
      <xdr:colOff>123824</xdr:colOff>
      <xdr:row>13</xdr:row>
      <xdr:rowOff>104775</xdr:rowOff>
    </xdr:from>
    <xdr:to>
      <xdr:col>4</xdr:col>
      <xdr:colOff>419100</xdr:colOff>
      <xdr:row>14</xdr:row>
      <xdr:rowOff>104775</xdr:rowOff>
    </xdr:to>
    <xdr:sp macro="" textlink="Pivots!$C$129">
      <xdr:nvSpPr>
        <xdr:cNvPr id="41" name="TextBox 40">
          <a:extLst>
            <a:ext uri="{FF2B5EF4-FFF2-40B4-BE49-F238E27FC236}">
              <a16:creationId xmlns:a16="http://schemas.microsoft.com/office/drawing/2014/main" id="{C88FB603-B408-F806-F89F-DDFB6F665348}"/>
            </a:ext>
          </a:extLst>
        </xdr:cNvPr>
        <xdr:cNvSpPr txBox="1"/>
      </xdr:nvSpPr>
      <xdr:spPr>
        <a:xfrm>
          <a:off x="1964713" y="2605088"/>
          <a:ext cx="908906" cy="192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25DFBA-3C08-47CC-B08A-3107C203E3C1}" type="TxLink">
            <a:rPr lang="en-US" sz="1600" b="1" i="0" u="none" strike="noStrike">
              <a:ln>
                <a:noFill/>
              </a:ln>
              <a:solidFill>
                <a:schemeClr val="bg1"/>
              </a:solidFill>
              <a:latin typeface="Calibri"/>
              <a:ea typeface="Calibri"/>
              <a:cs typeface="Calibri"/>
            </a:rPr>
            <a:pPr marL="0" indent="0" algn="ctr"/>
            <a:t>17.62%</a:t>
          </a:fld>
          <a:endParaRPr lang="en-IN" sz="1600" b="1" i="0" u="none" strike="noStrike">
            <a:ln>
              <a:noFill/>
            </a:ln>
            <a:solidFill>
              <a:schemeClr val="bg1"/>
            </a:solidFill>
            <a:latin typeface="Calibri"/>
            <a:ea typeface="Calibri"/>
            <a:cs typeface="Calibri"/>
          </a:endParaRPr>
        </a:p>
      </xdr:txBody>
    </xdr:sp>
    <xdr:clientData/>
  </xdr:twoCellAnchor>
  <xdr:twoCellAnchor editAs="oneCell">
    <xdr:from>
      <xdr:col>24</xdr:col>
      <xdr:colOff>224683</xdr:colOff>
      <xdr:row>2</xdr:row>
      <xdr:rowOff>136069</xdr:rowOff>
    </xdr:from>
    <xdr:to>
      <xdr:col>25</xdr:col>
      <xdr:colOff>110217</xdr:colOff>
      <xdr:row>5</xdr:row>
      <xdr:rowOff>62800</xdr:rowOff>
    </xdr:to>
    <xdr:pic>
      <xdr:nvPicPr>
        <xdr:cNvPr id="43" name="Graphic 42" descr="Bar chart outline">
          <a:hlinkClick xmlns:r="http://schemas.openxmlformats.org/officeDocument/2006/relationships" r:id="rId8"/>
          <a:extLst>
            <a:ext uri="{FF2B5EF4-FFF2-40B4-BE49-F238E27FC236}">
              <a16:creationId xmlns:a16="http://schemas.microsoft.com/office/drawing/2014/main" id="{F5B19861-C99D-77B4-9A86-EE4949E4A04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855083" y="517069"/>
          <a:ext cx="495134" cy="498231"/>
        </a:xfrm>
        <a:prstGeom prst="rect">
          <a:avLst/>
        </a:prstGeom>
      </xdr:spPr>
    </xdr:pic>
    <xdr:clientData/>
  </xdr:twoCellAnchor>
  <xdr:twoCellAnchor editAs="oneCell">
    <xdr:from>
      <xdr:col>25</xdr:col>
      <xdr:colOff>582491</xdr:colOff>
      <xdr:row>2</xdr:row>
      <xdr:rowOff>125605</xdr:rowOff>
    </xdr:from>
    <xdr:to>
      <xdr:col>26</xdr:col>
      <xdr:colOff>481589</xdr:colOff>
      <xdr:row>5</xdr:row>
      <xdr:rowOff>66571</xdr:rowOff>
    </xdr:to>
    <xdr:pic>
      <xdr:nvPicPr>
        <xdr:cNvPr id="45" name="Graphic 44" descr="Database outline">
          <a:hlinkClick xmlns:r="http://schemas.openxmlformats.org/officeDocument/2006/relationships" r:id="rId11"/>
          <a:extLst>
            <a:ext uri="{FF2B5EF4-FFF2-40B4-BE49-F238E27FC236}">
              <a16:creationId xmlns:a16="http://schemas.microsoft.com/office/drawing/2014/main" id="{AE1093CD-7680-15AF-5321-9E965E78E2B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822491" y="506605"/>
          <a:ext cx="508698" cy="512466"/>
        </a:xfrm>
        <a:prstGeom prst="rect">
          <a:avLst/>
        </a:prstGeom>
      </xdr:spPr>
    </xdr:pic>
    <xdr:clientData/>
  </xdr:twoCellAnchor>
  <xdr:twoCellAnchor editAs="oneCell">
    <xdr:from>
      <xdr:col>27</xdr:col>
      <xdr:colOff>362683</xdr:colOff>
      <xdr:row>2</xdr:row>
      <xdr:rowOff>104670</xdr:rowOff>
    </xdr:from>
    <xdr:to>
      <xdr:col>28</xdr:col>
      <xdr:colOff>272246</xdr:colOff>
      <xdr:row>5</xdr:row>
      <xdr:rowOff>56101</xdr:rowOff>
    </xdr:to>
    <xdr:pic>
      <xdr:nvPicPr>
        <xdr:cNvPr id="47" name="Graphic 46" descr="Document outline">
          <a:hlinkClick xmlns:r="http://schemas.openxmlformats.org/officeDocument/2006/relationships" r:id="rId14"/>
          <a:extLst>
            <a:ext uri="{FF2B5EF4-FFF2-40B4-BE49-F238E27FC236}">
              <a16:creationId xmlns:a16="http://schemas.microsoft.com/office/drawing/2014/main" id="{D2AF83E0-5C59-29BC-CAE3-EC350FCC283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821883" y="485670"/>
          <a:ext cx="519163" cy="522931"/>
        </a:xfrm>
        <a:prstGeom prst="rect">
          <a:avLst/>
        </a:prstGeom>
      </xdr:spPr>
    </xdr:pic>
    <xdr:clientData/>
  </xdr:twoCellAnchor>
  <xdr:twoCellAnchor>
    <xdr:from>
      <xdr:col>27</xdr:col>
      <xdr:colOff>129896</xdr:colOff>
      <xdr:row>5</xdr:row>
      <xdr:rowOff>62802</xdr:rowOff>
    </xdr:from>
    <xdr:to>
      <xdr:col>28</xdr:col>
      <xdr:colOff>509221</xdr:colOff>
      <xdr:row>5</xdr:row>
      <xdr:rowOff>167472</xdr:rowOff>
    </xdr:to>
    <xdr:sp macro="" textlink="">
      <xdr:nvSpPr>
        <xdr:cNvPr id="3" name="TextBox 2">
          <a:hlinkClick xmlns:r="http://schemas.openxmlformats.org/officeDocument/2006/relationships" r:id="rId14"/>
          <a:extLst>
            <a:ext uri="{FF2B5EF4-FFF2-40B4-BE49-F238E27FC236}">
              <a16:creationId xmlns:a16="http://schemas.microsoft.com/office/drawing/2014/main" id="{FD68156C-102B-A857-4EF3-01CB7505483D}"/>
            </a:ext>
          </a:extLst>
        </xdr:cNvPr>
        <xdr:cNvSpPr txBox="1"/>
      </xdr:nvSpPr>
      <xdr:spPr>
        <a:xfrm>
          <a:off x="16589096" y="1015302"/>
          <a:ext cx="988925" cy="104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Raw</a:t>
          </a:r>
          <a:r>
            <a:rPr lang="en-IN" sz="1200" b="1" baseline="0">
              <a:solidFill>
                <a:schemeClr val="bg1"/>
              </a:solidFill>
            </a:rPr>
            <a:t> Data</a:t>
          </a:r>
        </a:p>
      </xdr:txBody>
    </xdr:sp>
    <xdr:clientData/>
  </xdr:twoCellAnchor>
  <xdr:twoCellAnchor>
    <xdr:from>
      <xdr:col>25</xdr:col>
      <xdr:colOff>366661</xdr:colOff>
      <xdr:row>5</xdr:row>
      <xdr:rowOff>58196</xdr:rowOff>
    </xdr:from>
    <xdr:to>
      <xdr:col>27</xdr:col>
      <xdr:colOff>133874</xdr:colOff>
      <xdr:row>5</xdr:row>
      <xdr:rowOff>162866</xdr:rowOff>
    </xdr:to>
    <xdr:sp macro="" textlink="">
      <xdr:nvSpPr>
        <xdr:cNvPr id="5" name="TextBox 4">
          <a:hlinkClick xmlns:r="http://schemas.openxmlformats.org/officeDocument/2006/relationships" r:id="rId11"/>
          <a:extLst>
            <a:ext uri="{FF2B5EF4-FFF2-40B4-BE49-F238E27FC236}">
              <a16:creationId xmlns:a16="http://schemas.microsoft.com/office/drawing/2014/main" id="{B7D80A98-8B17-4E6B-8C78-58E36C35805B}"/>
            </a:ext>
          </a:extLst>
        </xdr:cNvPr>
        <xdr:cNvSpPr txBox="1"/>
      </xdr:nvSpPr>
      <xdr:spPr>
        <a:xfrm>
          <a:off x="15606661" y="1010696"/>
          <a:ext cx="986413" cy="104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1"/>
              </a:solidFill>
            </a:rPr>
            <a:t>Data</a:t>
          </a:r>
        </a:p>
      </xdr:txBody>
    </xdr:sp>
    <xdr:clientData/>
  </xdr:twoCellAnchor>
  <xdr:twoCellAnchor>
    <xdr:from>
      <xdr:col>24</xdr:col>
      <xdr:colOff>2726</xdr:colOff>
      <xdr:row>5</xdr:row>
      <xdr:rowOff>64058</xdr:rowOff>
    </xdr:from>
    <xdr:to>
      <xdr:col>25</xdr:col>
      <xdr:colOff>382051</xdr:colOff>
      <xdr:row>5</xdr:row>
      <xdr:rowOff>168728</xdr:rowOff>
    </xdr:to>
    <xdr:sp macro="" textlink="">
      <xdr:nvSpPr>
        <xdr:cNvPr id="14" name="TextBox 13">
          <a:hlinkClick xmlns:r="http://schemas.openxmlformats.org/officeDocument/2006/relationships" r:id="rId8"/>
          <a:extLst>
            <a:ext uri="{FF2B5EF4-FFF2-40B4-BE49-F238E27FC236}">
              <a16:creationId xmlns:a16="http://schemas.microsoft.com/office/drawing/2014/main" id="{2E15F63D-BD6F-4856-9D13-179E97A0D827}"/>
            </a:ext>
          </a:extLst>
        </xdr:cNvPr>
        <xdr:cNvSpPr txBox="1"/>
      </xdr:nvSpPr>
      <xdr:spPr>
        <a:xfrm>
          <a:off x="14633126" y="1016558"/>
          <a:ext cx="988925" cy="104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1"/>
              </a:solidFill>
            </a:rPr>
            <a:t>Charts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refreshedDate="45913.439657175928" createdVersion="8" refreshedVersion="8" minRefreshableVersion="3" recordCount="315" xr:uid="{E961A516-740B-4DDD-A54D-3C2E95D90266}">
  <cacheSource type="worksheet">
    <worksheetSource name="Sheet1"/>
  </cacheSource>
  <cacheFields count="15">
    <cacheField name="Order_ID" numFmtId="0">
      <sharedItems containsSemiMixedTypes="0" containsString="0" containsNumber="1" containsInteger="1" minValue="1001" maxValue="1996"/>
    </cacheField>
    <cacheField name="Order_Date" numFmtId="14">
      <sharedItems containsSemiMixedTypes="0" containsNonDate="0" containsDate="1" containsString="0" minDate="2022-01-01T00:00:00" maxDate="2022-10-28T00:00:00" count="300">
        <d v="2022-04-05T00:00:00"/>
        <d v="2022-06-18T00:00:00"/>
        <d v="2022-03-17T00:00:00"/>
        <d v="2022-09-01T00:00:00"/>
        <d v="2022-01-14T00:00:00"/>
        <d v="2022-09-12T00:00:00"/>
        <d v="2022-03-21T00:00:00"/>
        <d v="2022-02-11T00:00:00"/>
        <d v="2022-04-18T00:00:00"/>
        <d v="2022-03-12T00:00:00"/>
        <d v="2022-02-03T00:00:00"/>
        <d v="2022-02-09T00:00:00"/>
        <d v="2022-02-27T00:00:00"/>
        <d v="2022-06-08T00:00:00"/>
        <d v="2022-02-04T00:00:00"/>
        <d v="2022-07-07T00:00:00"/>
        <d v="2022-09-08T00:00:00"/>
        <d v="2022-04-03T00:00:00"/>
        <d v="2022-06-25T00:00:00"/>
        <d v="2022-01-10T00:00:00"/>
        <d v="2022-05-05T00:00:00"/>
        <d v="2022-01-09T00:00:00"/>
        <d v="2022-05-03T00:00:00"/>
        <d v="2022-09-29T00:00:00"/>
        <d v="2022-07-21T00:00:00"/>
        <d v="2022-04-24T00:00:00"/>
        <d v="2022-07-11T00:00:00"/>
        <d v="2022-01-20T00:00:00"/>
        <d v="2022-09-07T00:00:00"/>
        <d v="2022-07-18T00:00:00"/>
        <d v="2022-06-17T00:00:00"/>
        <d v="2022-08-07T00:00:00"/>
        <d v="2022-01-01T00:00:00"/>
        <d v="2022-10-04T00:00:00"/>
        <d v="2022-09-25T00:00:00"/>
        <d v="2022-01-30T00:00:00"/>
        <d v="2022-02-08T00:00:00"/>
        <d v="2022-07-24T00:00:00"/>
        <d v="2022-04-13T00:00:00"/>
        <d v="2022-03-26T00:00:00"/>
        <d v="2022-07-25T00:00:00"/>
        <d v="2022-04-01T00:00:00"/>
        <d v="2022-03-08T00:00:00"/>
        <d v="2022-09-28T00:00:00"/>
        <d v="2022-09-17T00:00:00"/>
        <d v="2022-07-10T00:00:00"/>
        <d v="2022-05-08T00:00:00"/>
        <d v="2022-09-15T00:00:00"/>
        <d v="2022-05-31T00:00:00"/>
        <d v="2022-03-04T00:00:00"/>
        <d v="2022-03-07T00:00:00"/>
        <d v="2022-03-30T00:00:00"/>
        <d v="2022-10-06T00:00:00"/>
        <d v="2022-01-19T00:00:00"/>
        <d v="2022-08-22T00:00:00"/>
        <d v="2022-02-06T00:00:00"/>
        <d v="2022-09-09T00:00:00"/>
        <d v="2022-06-23T00:00:00"/>
        <d v="2022-04-20T00:00:00"/>
        <d v="2022-08-31T00:00:00"/>
        <d v="2022-05-25T00:00:00"/>
        <d v="2022-05-16T00:00:00"/>
        <d v="2022-03-05T00:00:00"/>
        <d v="2022-05-23T00:00:00"/>
        <d v="2022-02-17T00:00:00"/>
        <d v="2022-05-30T00:00:00"/>
        <d v="2022-06-13T00:00:00"/>
        <d v="2022-09-22T00:00:00"/>
        <d v="2022-08-19T00:00:00"/>
        <d v="2022-10-25T00:00:00"/>
        <d v="2022-05-09T00:00:00"/>
        <d v="2022-06-01T00:00:00"/>
        <d v="2022-09-24T00:00:00"/>
        <d v="2022-04-09T00:00:00"/>
        <d v="2022-08-03T00:00:00"/>
        <d v="2022-01-05T00:00:00"/>
        <d v="2022-06-10T00:00:00"/>
        <d v="2022-08-21T00:00:00"/>
        <d v="2022-09-16T00:00:00"/>
        <d v="2022-10-12T00:00:00"/>
        <d v="2022-07-31T00:00:00"/>
        <d v="2022-03-19T00:00:00"/>
        <d v="2022-03-23T00:00:00"/>
        <d v="2022-04-23T00:00:00"/>
        <d v="2022-03-27T00:00:00"/>
        <d v="2022-03-03T00:00:00"/>
        <d v="2022-04-07T00:00:00"/>
        <d v="2022-01-06T00:00:00"/>
        <d v="2022-03-10T00:00:00"/>
        <d v="2022-08-30T00:00:00"/>
        <d v="2022-08-11T00:00:00"/>
        <d v="2022-03-02T00:00:00"/>
        <d v="2022-01-15T00:00:00"/>
        <d v="2022-06-27T00:00:00"/>
        <d v="2022-02-07T00:00:00"/>
        <d v="2022-02-19T00:00:00"/>
        <d v="2022-10-16T00:00:00"/>
        <d v="2022-10-14T00:00:00"/>
        <d v="2022-10-08T00:00:00"/>
        <d v="2022-04-25T00:00:00"/>
        <d v="2022-07-04T00:00:00"/>
        <d v="2022-05-24T00:00:00"/>
        <d v="2022-09-26T00:00:00"/>
        <d v="2022-04-15T00:00:00"/>
        <d v="2022-09-20T00:00:00"/>
        <d v="2022-07-12T00:00:00"/>
        <d v="2022-06-16T00:00:00"/>
        <d v="2022-03-01T00:00:00"/>
        <d v="2022-10-10T00:00:00"/>
        <d v="2022-05-28T00:00:00"/>
        <d v="2022-07-16T00:00:00"/>
        <d v="2022-02-21T00:00:00"/>
        <d v="2022-09-04T00:00:00"/>
        <d v="2022-08-08T00:00:00"/>
        <d v="2022-10-11T00:00:00"/>
        <d v="2022-10-23T00:00:00"/>
        <d v="2022-10-18T00:00:00"/>
        <d v="2022-10-26T00:00:00"/>
        <d v="2022-06-09T00:00:00"/>
        <d v="2022-03-09T00:00:00"/>
        <d v="2022-10-22T00:00:00"/>
        <d v="2022-03-13T00:00:00"/>
        <d v="2022-10-05T00:00:00"/>
        <d v="2022-03-18T00:00:00"/>
        <d v="2022-09-30T00:00:00"/>
        <d v="2022-10-17T00:00:00"/>
        <d v="2022-07-02T00:00:00"/>
        <d v="2022-01-25T00:00:00"/>
        <d v="2022-01-26T00:00:00"/>
        <d v="2022-04-16T00:00:00"/>
        <d v="2022-06-04T00:00:00"/>
        <d v="2022-07-15T00:00:00"/>
        <d v="2022-01-22T00:00:00"/>
        <d v="2022-08-16T00:00:00"/>
        <d v="2022-02-01T00:00:00"/>
        <d v="2022-06-07T00:00:00"/>
        <d v="2022-08-05T00:00:00"/>
        <d v="2022-10-13T00:00:00"/>
        <d v="2022-05-13T00:00:00"/>
        <d v="2022-09-05T00:00:00"/>
        <d v="2022-08-27T00:00:00"/>
        <d v="2022-07-09T00:00:00"/>
        <d v="2022-07-06T00:00:00"/>
        <d v="2022-01-04T00:00:00"/>
        <d v="2022-05-04T00:00:00"/>
        <d v="2022-04-08T00:00:00"/>
        <d v="2022-06-29T00:00:00"/>
        <d v="2022-05-12T00:00:00"/>
        <d v="2022-02-28T00:00:00"/>
        <d v="2022-02-14T00:00:00"/>
        <d v="2022-08-18T00:00:00"/>
        <d v="2022-01-07T00:00:00"/>
        <d v="2022-02-20T00:00:00"/>
        <d v="2022-10-15T00:00:00"/>
        <d v="2022-04-27T00:00:00"/>
        <d v="2022-02-12T00:00:00"/>
        <d v="2022-07-13T00:00:00"/>
        <d v="2022-07-14T00:00:00"/>
        <d v="2022-05-06T00:00:00"/>
        <d v="2022-08-09T00:00:00"/>
        <d v="2022-09-18T00:00:00"/>
        <d v="2022-02-24T00:00:00"/>
        <d v="2022-02-02T00:00:00"/>
        <d v="2022-07-08T00:00:00"/>
        <d v="2022-05-15T00:00:00"/>
        <d v="2022-05-14T00:00:00"/>
        <d v="2022-04-06T00:00:00"/>
        <d v="2022-08-28T00:00:00"/>
        <d v="2022-06-30T00:00:00"/>
        <d v="2022-06-19T00:00:00"/>
        <d v="2022-01-27T00:00:00"/>
        <d v="2022-04-02T00:00:00"/>
        <d v="2022-04-14T00:00:00"/>
        <d v="2022-10-07T00:00:00"/>
        <d v="2022-09-11T00:00:00"/>
        <d v="2022-10-27T00:00:00"/>
        <d v="2022-04-29T00:00:00"/>
        <d v="2022-03-25T00:00:00"/>
        <d v="2022-09-03T00:00:00"/>
        <d v="2022-03-31T00:00:00"/>
        <d v="2022-05-02T00:00:00"/>
        <d v="2022-07-19T00:00:00"/>
        <d v="2022-06-20T00:00:00"/>
        <d v="2022-01-29T00:00:00"/>
        <d v="2022-07-26T00:00:00"/>
        <d v="2022-04-26T00:00:00"/>
        <d v="2022-08-14T00:00:00"/>
        <d v="2022-01-12T00:00:00"/>
        <d v="2022-01-17T00:00:00"/>
        <d v="2022-07-27T00:00:00"/>
        <d v="2022-04-21T00:00:00"/>
        <d v="2022-05-11T00:00:00"/>
        <d v="2022-06-02T00:00:00"/>
        <d v="2022-06-12T00:00:00"/>
        <d v="2022-10-09T00:00:00"/>
        <d v="2022-05-22T00:00:00"/>
        <d v="2022-08-12T00:00:00"/>
        <d v="2022-03-22T00:00:00"/>
        <d v="2022-01-02T00:00:00"/>
        <d v="2022-04-12T00:00:00"/>
        <d v="2022-06-14T00:00:00"/>
        <d v="2022-08-10T00:00:00"/>
        <d v="2022-02-15T00:00:00"/>
        <d v="2022-03-15T00:00:00"/>
        <d v="2022-08-26T00:00:00"/>
        <d v="2022-02-16T00:00:00"/>
        <d v="2022-02-13T00:00:00"/>
        <d v="2022-02-22T00:00:00"/>
        <d v="2022-05-18T00:00:00"/>
        <d v="2022-09-19T00:00:00"/>
        <d v="2022-04-28T00:00:00"/>
        <d v="2022-02-26T00:00:00"/>
        <d v="2022-09-27T00:00:00"/>
        <d v="2022-09-02T00:00:00"/>
        <d v="2022-10-24T00:00:00"/>
        <d v="2022-07-01T00:00:00"/>
        <d v="2022-09-06T00:00:00"/>
        <d v="2022-08-20T00:00:00"/>
        <d v="2022-05-29T00:00:00"/>
        <d v="2022-06-21T00:00:00"/>
        <d v="2022-03-11T00:00:00"/>
        <d v="2022-09-23T00:00:00"/>
        <d v="2022-01-03T00:00:00"/>
        <d v="2022-01-18T00:00:00"/>
        <d v="2022-02-05T00:00:00"/>
        <d v="2022-01-08T00:00:00"/>
        <d v="2022-08-04T00:00:00"/>
        <d v="2022-09-10T00:00:00"/>
        <d v="2022-10-20T00:00:00"/>
        <d v="2022-08-25T00:00:00"/>
        <d v="2022-06-22T00:00:00"/>
        <d v="2022-03-28T00:00:00"/>
        <d v="2022-04-19T00:00:00"/>
        <d v="2022-09-14T00:00:00"/>
        <d v="2022-08-13T00:00:00"/>
        <d v="2022-07-03T00:00:00"/>
        <d v="2022-02-23T00:00:00"/>
        <d v="2022-07-22T00:00:00"/>
        <d v="2022-06-15T00:00:00"/>
        <d v="2022-03-14T00:00:00"/>
        <d v="2022-01-16T00:00:00"/>
        <d v="2022-05-10T00:00:00"/>
        <d v="2022-01-31T00:00:00"/>
        <d v="2022-10-19T00:00:00"/>
        <d v="2022-08-17T00:00:00"/>
        <d v="2022-07-29T00:00:00"/>
        <d v="2022-10-03T00:00:00"/>
        <d v="2022-08-24T00:00:00"/>
        <d v="2022-08-15T00:00:00"/>
        <d v="2022-09-13T00:00:00"/>
        <d v="2022-05-26T00:00:00"/>
        <d v="2022-02-10T00:00:00"/>
        <d v="2022-01-28T00:00:00"/>
        <d v="2022-10-02T00:00:00"/>
        <d v="2022-05-20T00:00:00"/>
        <d v="2022-07-30T00:00:00"/>
        <d v="2022-01-21T00:00:00"/>
        <d v="2022-07-20T00:00:00"/>
        <d v="2022-04-04T00:00:00"/>
        <d v="2022-01-11T00:00:00"/>
        <d v="2022-01-24T00:00:00"/>
        <d v="2022-04-11T00:00:00"/>
        <d v="2022-01-13T00:00:00"/>
        <d v="2022-08-23T00:00:00"/>
        <d v="2022-08-01T00:00:00"/>
        <d v="2022-01-23T00:00:00"/>
        <d v="2022-06-24T00:00:00"/>
        <d v="2022-04-30T00:00:00"/>
        <d v="2022-08-06T00:00:00"/>
        <d v="2022-07-05T00:00:00"/>
        <d v="2022-06-28T00:00:00"/>
        <d v="2022-02-25T00:00:00"/>
        <d v="2022-04-22T00:00:00"/>
        <d v="2022-07-17T00:00:00"/>
        <d v="2022-06-26T00:00:00"/>
        <d v="2022-03-24T00:00:00"/>
        <d v="2022-05-21T00:00:00"/>
        <d v="2022-04-10T00:00:00"/>
        <d v="2022-06-11T00:00:00"/>
        <d v="2022-05-17T00:00:00"/>
        <d v="2022-05-27T00:00:00"/>
        <d v="2022-04-17T00:00:00"/>
        <d v="2022-03-06T00:00:00"/>
        <d v="2022-05-01T00:00:00"/>
        <d v="2022-05-19T00:00:00"/>
        <d v="2022-06-05T00:00:00"/>
        <d v="2022-06-06T00:00:00"/>
        <d v="2022-09-21T00:00:00"/>
        <d v="2022-03-29T00:00:00"/>
        <d v="2022-07-28T00:00:00"/>
        <d v="2022-10-21T00:00:00"/>
        <d v="2022-08-02T00:00:00"/>
        <d v="2022-10-01T00:00:00"/>
        <d v="2022-06-03T00:00:00"/>
        <d v="2022-08-29T00:00:00"/>
        <d v="2022-03-20T00:00:00"/>
        <d v="2022-02-18T00:00:00"/>
        <d v="2022-07-23T00:00:00"/>
        <d v="2022-03-16T00:00:00"/>
        <d v="2022-05-07T00:00:00"/>
      </sharedItems>
      <fieldGroup par="14"/>
    </cacheField>
    <cacheField name="Customer_Name" numFmtId="0">
      <sharedItems count="7">
        <s v="David"/>
        <s v="Frank"/>
        <s v="Alice"/>
        <s v="Charlie"/>
        <s v="Grace"/>
        <s v="Bob"/>
        <s v="Eva"/>
      </sharedItems>
    </cacheField>
    <cacheField name="Region" numFmtId="0">
      <sharedItems count="4">
        <s v="West"/>
        <s v="East"/>
        <s v="Central"/>
        <s v="South"/>
      </sharedItems>
    </cacheField>
    <cacheField name="Product_Category" numFmtId="0">
      <sharedItems count="3">
        <s v="Office Supplies"/>
        <s v="Technology"/>
        <s v="Furniture"/>
      </sharedItems>
    </cacheField>
    <cacheField name="Sub_Category" numFmtId="0">
      <sharedItems count="5">
        <s v="Phones"/>
        <s v="Chairs"/>
        <s v="Accessories"/>
        <s v="Tables"/>
        <s v="Binders"/>
      </sharedItems>
    </cacheField>
    <cacheField name="Quantity" numFmtId="0">
      <sharedItems containsSemiMixedTypes="0" containsString="0" containsNumber="1" containsInteger="1" minValue="1" maxValue="9"/>
    </cacheField>
    <cacheField name="Unit_Price" numFmtId="165">
      <sharedItems containsSemiMixedTypes="0" containsString="0" containsNumber="1" containsInteger="1" minValue="21" maxValue="497"/>
    </cacheField>
    <cacheField name="Discount" numFmtId="9">
      <sharedItems containsSemiMixedTypes="0" containsString="0" containsNumber="1" minValue="0" maxValue="0.3" count="4">
        <n v="0.2"/>
        <n v="0"/>
        <n v="0.1"/>
        <n v="0.3"/>
      </sharedItems>
    </cacheField>
    <cacheField name="Sales" numFmtId="165">
      <sharedItems containsSemiMixedTypes="0" containsString="0" containsNumber="1" minValue="23.8" maxValue="4248" count="288">
        <n v="806.4"/>
        <n v="710.4"/>
        <n v="3591"/>
        <n v="212"/>
        <n v="802.8"/>
        <n v="268.8"/>
        <n v="2923.2"/>
        <n v="580"/>
        <n v="387"/>
        <n v="736"/>
        <n v="2694"/>
        <n v="416"/>
        <n v="2526.3000000000002"/>
        <n v="432"/>
        <n v="1372"/>
        <n v="219.6"/>
        <n v="498"/>
        <n v="492"/>
        <n v="1302"/>
        <n v="1416.1"/>
        <n v="370"/>
        <n v="2632.5"/>
        <n v="494"/>
        <n v="2660"/>
        <n v="1008"/>
        <n v="166.6"/>
        <n v="392.4"/>
        <n v="1916"/>
        <n v="1015.2"/>
        <n v="2916"/>
        <n v="315"/>
        <n v="1011"/>
        <n v="2058"/>
        <n v="471.6"/>
        <n v="1064.7"/>
        <n v="2151"/>
        <n v="743.4"/>
        <n v="1840.5"/>
        <n v="2842"/>
        <n v="83.7"/>
        <n v="140"/>
        <n v="237"/>
        <n v="1386"/>
        <n v="893.7"/>
        <n v="484.8"/>
        <n v="1360.8"/>
        <n v="912.6"/>
        <n v="828"/>
        <n v="616"/>
        <n v="224"/>
        <n v="1504"/>
        <n v="248.4"/>
        <n v="649.6"/>
        <n v="560"/>
        <n v="562.79999999999995"/>
        <n v="207"/>
        <n v="199.8"/>
        <n v="3915"/>
        <n v="3573"/>
        <n v="139.5"/>
        <n v="1026"/>
        <n v="784"/>
        <n v="257.60000000000002"/>
        <n v="1428"/>
        <n v="921"/>
        <n v="708"/>
        <n v="572.79999999999995"/>
        <n v="2128.5"/>
        <n v="2097.9"/>
        <n v="1225.5999999999999"/>
        <n v="372.8"/>
        <n v="847"/>
        <n v="1242"/>
        <n v="110.4"/>
        <n v="566"/>
        <n v="41"/>
        <n v="769.5"/>
        <n v="3861"/>
        <n v="2361.6"/>
        <n v="2296"/>
        <n v="192"/>
        <n v="23.8"/>
        <n v="3051"/>
        <n v="58.5"/>
        <n v="586"/>
        <n v="2480"/>
        <n v="27"/>
        <n v="3105.9"/>
        <n v="786.8"/>
        <n v="2716"/>
        <n v="1701"/>
        <n v="666"/>
        <n v="292.8"/>
        <n v="244"/>
        <n v="1694"/>
        <n v="1086.4000000000001"/>
        <n v="1624"/>
        <n v="1944"/>
        <n v="3701.7"/>
        <n v="602"/>
        <n v="945"/>
        <n v="2310"/>
        <n v="280"/>
        <n v="2241.6"/>
        <n v="2009.7"/>
        <n v="1544"/>
        <n v="329"/>
        <n v="2754"/>
        <n v="1627.2"/>
        <n v="54"/>
        <n v="1063.8"/>
        <n v="103"/>
        <n v="198"/>
        <n v="216.3"/>
        <n v="595.20000000000005"/>
        <n v="92"/>
        <n v="737.6"/>
        <n v="280.7"/>
        <n v="2352"/>
        <n v="1248"/>
        <n v="4248"/>
        <n v="302.39999999999998"/>
        <n v="3528"/>
        <n v="351"/>
        <n v="1602"/>
        <n v="2180"/>
        <n v="122.4"/>
        <n v="1737"/>
        <n v="2145.6"/>
        <n v="2002"/>
        <n v="562.5"/>
        <n v="388.8"/>
        <n v="2043"/>
        <n v="2450"/>
        <n v="535"/>
        <n v="197"/>
        <n v="947.7"/>
        <n v="273"/>
        <n v="320"/>
        <n v="685.8"/>
        <n v="1036"/>
        <n v="2380"/>
        <n v="508.8"/>
        <n v="196"/>
        <n v="1411.2"/>
        <n v="2613.6"/>
        <n v="475.2"/>
        <n v="1227"/>
        <n v="1000.8"/>
        <n v="1346.8"/>
        <n v="996.3"/>
        <n v="1102.5"/>
        <n v="2364"/>
        <n v="451.2"/>
        <n v="972"/>
        <n v="1623.6"/>
        <n v="1617.6"/>
        <n v="2456"/>
        <n v="405"/>
        <n v="1533.6"/>
        <n v="249"/>
        <n v="745.2"/>
        <n v="264"/>
        <n v="1920"/>
        <n v="334"/>
        <n v="617.4"/>
        <n v="1796"/>
        <n v="1656"/>
        <n v="78.400000000000006"/>
        <n v="2100"/>
        <n v="187.2"/>
        <n v="1839.6"/>
        <n v="807.3"/>
        <n v="1456"/>
        <n v="182"/>
        <n v="2872"/>
        <n v="3411"/>
        <n v="576"/>
        <n v="2224.6"/>
        <n v="1180.2"/>
        <n v="1446"/>
        <n v="1912"/>
        <n v="1047.5999999999999"/>
        <n v="1107"/>
        <n v="450.8"/>
        <n v="3654"/>
        <n v="364.5"/>
        <n v="888"/>
        <n v="318.5"/>
        <n v="466"/>
        <n v="271.2"/>
        <n v="3618"/>
        <n v="1164.8"/>
        <n v="371.7"/>
        <n v="152.6"/>
        <n v="2169"/>
        <n v="832"/>
        <n v="376"/>
        <n v="966"/>
        <n v="931.5"/>
        <n v="1564"/>
        <n v="212.8"/>
        <n v="229.6"/>
        <n v="637"/>
        <n v="326"/>
        <n v="2133"/>
        <n v="712"/>
        <n v="3339"/>
        <n v="148.80000000000001"/>
        <n v="478"/>
        <n v="2165"/>
        <n v="524"/>
        <n v="98.4"/>
        <n v="2016"/>
        <n v="442"/>
        <n v="166"/>
        <n v="1684"/>
        <n v="786"/>
        <n v="2730"/>
        <n v="608"/>
        <n v="458"/>
        <n v="555.20000000000005"/>
        <n v="1439.2"/>
        <n v="232.2"/>
        <n v="1990.8"/>
        <n v="2215"/>
        <n v="1450"/>
        <n v="603"/>
        <n v="168"/>
        <n v="104"/>
        <n v="3441.6"/>
        <n v="2632"/>
        <n v="89.1"/>
        <n v="812"/>
        <n v="1512"/>
        <n v="856.8"/>
        <n v="462"/>
        <n v="2279.1999999999998"/>
        <n v="1960.2"/>
        <n v="618.79999999999995"/>
        <n v="1051.2"/>
        <n v="185.4"/>
        <n v="3288"/>
        <n v="333"/>
        <n v="232"/>
        <n v="2349"/>
        <n v="862"/>
        <n v="2051"/>
        <n v="913.5"/>
        <n v="430.2"/>
        <n v="164"/>
        <n v="1709.1"/>
        <n v="310.5"/>
        <n v="1276.8"/>
        <n v="158.4"/>
        <n v="311.2"/>
        <n v="2484"/>
        <n v="261"/>
        <n v="2055.1999999999998"/>
        <n v="1107.2"/>
        <n v="2217.6"/>
        <n v="1155.5999999999999"/>
        <n v="2368.8000000000002"/>
        <n v="625.79999999999995"/>
        <n v="170.1"/>
        <n v="1470"/>
        <n v="3976"/>
        <n v="1080.8"/>
        <n v="3564"/>
        <n v="1459.2"/>
        <n v="35.700000000000003"/>
        <n v="1440"/>
        <n v="1352.4"/>
        <n v="688.5"/>
        <n v="1450.4"/>
        <n v="932"/>
        <n v="909"/>
        <n v="476.7"/>
        <n v="1692"/>
        <n v="669"/>
        <n v="840"/>
        <n v="1233"/>
        <n v="2868"/>
        <n v="126.7"/>
        <n v="745"/>
        <n v="852"/>
        <n v="693"/>
        <n v="3241"/>
      </sharedItems>
    </cacheField>
    <cacheField name="Profit" numFmtId="165">
      <sharedItems containsSemiMixedTypes="0" containsString="0" containsNumber="1" minValue="3.1002999999999998" maxValue="1156.4141"/>
    </cacheField>
    <cacheField name="Profit_Margin" numFmtId="9">
      <sharedItems containsSemiMixedTypes="0" containsString="0" containsNumber="1" minValue="5.0804482758620699E-2" maxValue="0.29958686868686901"/>
    </cacheField>
    <cacheField name="Returned" numFmtId="0">
      <sharedItems count="2">
        <s v="No"/>
        <s v="Yes"/>
      </sharedItems>
    </cacheField>
    <cacheField name="Days (Order_Date)" numFmtId="0" databaseField="0">
      <fieldGroup base="1">
        <rangePr groupBy="days" startDate="2022-01-01T00:00:00" endDate="2022-10-28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2"/>
        </groupItems>
      </fieldGroup>
    </cacheField>
    <cacheField name="Months (Order_Date)" numFmtId="0" databaseField="0">
      <fieldGroup base="1">
        <rangePr groupBy="months" startDate="2022-01-01T00:00:00" endDate="2022-10-28T00:00:00"/>
        <groupItems count="14">
          <s v="&lt;01-01-2022"/>
          <s v="Jan"/>
          <s v="Feb"/>
          <s v="Mar"/>
          <s v="Apr"/>
          <s v="May"/>
          <s v="Jun"/>
          <s v="Jul"/>
          <s v="Aug"/>
          <s v="Sep"/>
          <s v="Oct"/>
          <s v="Nov"/>
          <s v="Dec"/>
          <s v="&gt;28-10-2022"/>
        </groupItems>
      </fieldGroup>
    </cacheField>
  </cacheFields>
  <extLst>
    <ext xmlns:x14="http://schemas.microsoft.com/office/spreadsheetml/2009/9/main" uri="{725AE2AE-9491-48be-B2B4-4EB974FC3084}">
      <x14:pivotCacheDefinition pivotCacheId="819180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n v="1771"/>
    <x v="0"/>
    <x v="0"/>
    <x v="0"/>
    <x v="0"/>
    <x v="0"/>
    <n v="9"/>
    <n v="112"/>
    <x v="0"/>
    <x v="0"/>
    <n v="100.5431"/>
    <n v="0.12468142361111099"/>
    <x v="0"/>
  </r>
  <r>
    <n v="1871"/>
    <x v="1"/>
    <x v="1"/>
    <x v="1"/>
    <x v="1"/>
    <x v="1"/>
    <n v="8"/>
    <n v="111"/>
    <x v="0"/>
    <x v="1"/>
    <n v="132.05240000000001"/>
    <n v="0.18588457207207201"/>
    <x v="0"/>
  </r>
  <r>
    <n v="1091"/>
    <x v="2"/>
    <x v="2"/>
    <x v="2"/>
    <x v="2"/>
    <x v="1"/>
    <n v="9"/>
    <n v="399"/>
    <x v="1"/>
    <x v="2"/>
    <n v="1017.2525000000001"/>
    <n v="0.28327833472570302"/>
    <x v="0"/>
  </r>
  <r>
    <n v="1627"/>
    <x v="3"/>
    <x v="1"/>
    <x v="1"/>
    <x v="0"/>
    <x v="0"/>
    <n v="2"/>
    <n v="106"/>
    <x v="1"/>
    <x v="3"/>
    <n v="32.741300000000003"/>
    <n v="0.154440094339623"/>
    <x v="0"/>
  </r>
  <r>
    <n v="1458"/>
    <x v="4"/>
    <x v="1"/>
    <x v="2"/>
    <x v="1"/>
    <x v="0"/>
    <n v="4"/>
    <n v="223"/>
    <x v="2"/>
    <x v="4"/>
    <n v="81.09"/>
    <n v="0.101008968609865"/>
    <x v="0"/>
  </r>
  <r>
    <n v="1224"/>
    <x v="5"/>
    <x v="2"/>
    <x v="2"/>
    <x v="2"/>
    <x v="2"/>
    <n v="2"/>
    <n v="192"/>
    <x v="3"/>
    <x v="5"/>
    <n v="61.7806"/>
    <n v="0.22983854166666701"/>
    <x v="0"/>
  </r>
  <r>
    <n v="1427"/>
    <x v="6"/>
    <x v="1"/>
    <x v="1"/>
    <x v="2"/>
    <x v="3"/>
    <n v="9"/>
    <n v="464"/>
    <x v="3"/>
    <x v="6"/>
    <n v="720.31420000000003"/>
    <n v="0.24641290366721399"/>
    <x v="0"/>
  </r>
  <r>
    <n v="1510"/>
    <x v="7"/>
    <x v="0"/>
    <x v="2"/>
    <x v="0"/>
    <x v="1"/>
    <n v="2"/>
    <n v="290"/>
    <x v="1"/>
    <x v="7"/>
    <n v="29.4666"/>
    <n v="5.0804482758620699E-2"/>
    <x v="1"/>
  </r>
  <r>
    <n v="1815"/>
    <x v="8"/>
    <x v="3"/>
    <x v="1"/>
    <x v="1"/>
    <x v="0"/>
    <n v="9"/>
    <n v="43"/>
    <x v="1"/>
    <x v="8"/>
    <n v="67.382599999999996"/>
    <n v="0.174115245478036"/>
    <x v="0"/>
  </r>
  <r>
    <n v="1776"/>
    <x v="9"/>
    <x v="0"/>
    <x v="3"/>
    <x v="1"/>
    <x v="2"/>
    <n v="2"/>
    <n v="460"/>
    <x v="0"/>
    <x v="9"/>
    <n v="53.102499999999999"/>
    <n v="7.2150135869565202E-2"/>
    <x v="1"/>
  </r>
  <r>
    <n v="1313"/>
    <x v="10"/>
    <x v="4"/>
    <x v="1"/>
    <x v="0"/>
    <x v="3"/>
    <n v="6"/>
    <n v="449"/>
    <x v="1"/>
    <x v="10"/>
    <n v="382.75650000000002"/>
    <n v="0.142077394209354"/>
    <x v="0"/>
  </r>
  <r>
    <n v="1474"/>
    <x v="11"/>
    <x v="2"/>
    <x v="3"/>
    <x v="1"/>
    <x v="3"/>
    <n v="1"/>
    <n v="416"/>
    <x v="1"/>
    <x v="11"/>
    <n v="63.712699999999998"/>
    <n v="0.15315552884615399"/>
    <x v="0"/>
  </r>
  <r>
    <n v="1130"/>
    <x v="12"/>
    <x v="5"/>
    <x v="2"/>
    <x v="0"/>
    <x v="0"/>
    <n v="7"/>
    <n v="401"/>
    <x v="2"/>
    <x v="12"/>
    <n v="647.39559999999994"/>
    <n v="0.256262359973083"/>
    <x v="0"/>
  </r>
  <r>
    <n v="1929"/>
    <x v="13"/>
    <x v="4"/>
    <x v="0"/>
    <x v="1"/>
    <x v="4"/>
    <n v="9"/>
    <n v="60"/>
    <x v="0"/>
    <x v="13"/>
    <n v="45.934199999999997"/>
    <n v="0.106329166666667"/>
    <x v="0"/>
  </r>
  <r>
    <n v="1021"/>
    <x v="14"/>
    <x v="0"/>
    <x v="3"/>
    <x v="0"/>
    <x v="2"/>
    <n v="8"/>
    <n v="245"/>
    <x v="3"/>
    <x v="14"/>
    <n v="222.4734"/>
    <n v="0.16215262390670601"/>
    <x v="0"/>
  </r>
  <r>
    <n v="1206"/>
    <x v="15"/>
    <x v="4"/>
    <x v="2"/>
    <x v="0"/>
    <x v="4"/>
    <n v="2"/>
    <n v="122"/>
    <x v="2"/>
    <x v="15"/>
    <n v="25.1783"/>
    <n v="0.114655282331512"/>
    <x v="0"/>
  </r>
  <r>
    <n v="1410"/>
    <x v="16"/>
    <x v="0"/>
    <x v="3"/>
    <x v="0"/>
    <x v="4"/>
    <n v="3"/>
    <n v="166"/>
    <x v="1"/>
    <x v="16"/>
    <n v="45.098100000000002"/>
    <n v="9.0558433734939797E-2"/>
    <x v="0"/>
  </r>
  <r>
    <n v="1565"/>
    <x v="17"/>
    <x v="6"/>
    <x v="0"/>
    <x v="1"/>
    <x v="4"/>
    <n v="1"/>
    <n v="492"/>
    <x v="1"/>
    <x v="17"/>
    <n v="58.1877"/>
    <n v="0.118267682926829"/>
    <x v="0"/>
  </r>
  <r>
    <n v="1942"/>
    <x v="18"/>
    <x v="3"/>
    <x v="1"/>
    <x v="1"/>
    <x v="0"/>
    <n v="5"/>
    <n v="372"/>
    <x v="3"/>
    <x v="18"/>
    <n v="282.86680000000001"/>
    <n v="0.21725560675883299"/>
    <x v="0"/>
  </r>
  <r>
    <n v="1121"/>
    <x v="19"/>
    <x v="6"/>
    <x v="0"/>
    <x v="0"/>
    <x v="4"/>
    <n v="7"/>
    <n v="289"/>
    <x v="3"/>
    <x v="19"/>
    <n v="421.93049999999999"/>
    <n v="0.29795247510769002"/>
    <x v="0"/>
  </r>
  <r>
    <n v="1763"/>
    <x v="20"/>
    <x v="0"/>
    <x v="3"/>
    <x v="0"/>
    <x v="3"/>
    <n v="2"/>
    <n v="185"/>
    <x v="1"/>
    <x v="20"/>
    <n v="43.655299999999997"/>
    <n v="0.117987297297297"/>
    <x v="0"/>
  </r>
  <r>
    <n v="1614"/>
    <x v="21"/>
    <x v="1"/>
    <x v="3"/>
    <x v="0"/>
    <x v="3"/>
    <n v="9"/>
    <n v="325"/>
    <x v="2"/>
    <x v="21"/>
    <n v="609.72760000000005"/>
    <n v="0.23161542260208901"/>
    <x v="0"/>
  </r>
  <r>
    <n v="1921"/>
    <x v="22"/>
    <x v="1"/>
    <x v="3"/>
    <x v="0"/>
    <x v="0"/>
    <n v="2"/>
    <n v="247"/>
    <x v="1"/>
    <x v="22"/>
    <n v="136.6224"/>
    <n v="0.27656356275303601"/>
    <x v="0"/>
  </r>
  <r>
    <n v="1563"/>
    <x v="23"/>
    <x v="5"/>
    <x v="3"/>
    <x v="0"/>
    <x v="2"/>
    <n v="7"/>
    <n v="380"/>
    <x v="1"/>
    <x v="23"/>
    <n v="248.5515"/>
    <n v="9.3440413533834601E-2"/>
    <x v="0"/>
  </r>
  <r>
    <n v="1733"/>
    <x v="24"/>
    <x v="1"/>
    <x v="1"/>
    <x v="1"/>
    <x v="2"/>
    <n v="3"/>
    <n v="336"/>
    <x v="1"/>
    <x v="24"/>
    <n v="66.831599999999995"/>
    <n v="6.63011904761905E-2"/>
    <x v="0"/>
  </r>
  <r>
    <n v="1701"/>
    <x v="25"/>
    <x v="1"/>
    <x v="3"/>
    <x v="1"/>
    <x v="1"/>
    <n v="7"/>
    <n v="34"/>
    <x v="3"/>
    <x v="25"/>
    <n v="13.967499999999999"/>
    <n v="8.3838535414165694E-2"/>
    <x v="0"/>
  </r>
  <r>
    <n v="1891"/>
    <x v="26"/>
    <x v="2"/>
    <x v="3"/>
    <x v="0"/>
    <x v="4"/>
    <n v="4"/>
    <n v="109"/>
    <x v="2"/>
    <x v="26"/>
    <n v="70.571799999999996"/>
    <n v="0.17984658511722701"/>
    <x v="0"/>
  </r>
  <r>
    <n v="1130"/>
    <x v="27"/>
    <x v="3"/>
    <x v="2"/>
    <x v="2"/>
    <x v="1"/>
    <n v="5"/>
    <n v="479"/>
    <x v="0"/>
    <x v="27"/>
    <n v="471.23630000000003"/>
    <n v="0.24594796450939499"/>
    <x v="0"/>
  </r>
  <r>
    <n v="1455"/>
    <x v="28"/>
    <x v="5"/>
    <x v="3"/>
    <x v="0"/>
    <x v="1"/>
    <n v="8"/>
    <n v="141"/>
    <x v="2"/>
    <x v="28"/>
    <n v="159.2569"/>
    <n v="0.15687243892829"/>
    <x v="0"/>
  </r>
  <r>
    <n v="1563"/>
    <x v="29"/>
    <x v="6"/>
    <x v="0"/>
    <x v="1"/>
    <x v="2"/>
    <n v="9"/>
    <n v="324"/>
    <x v="1"/>
    <x v="29"/>
    <n v="863.85749999999996"/>
    <n v="0.29624742798353898"/>
    <x v="0"/>
  </r>
  <r>
    <n v="1683"/>
    <x v="30"/>
    <x v="3"/>
    <x v="2"/>
    <x v="1"/>
    <x v="1"/>
    <n v="3"/>
    <n v="105"/>
    <x v="1"/>
    <x v="30"/>
    <n v="71.492000000000004"/>
    <n v="0.22695873015873"/>
    <x v="0"/>
  </r>
  <r>
    <n v="1681"/>
    <x v="31"/>
    <x v="6"/>
    <x v="0"/>
    <x v="1"/>
    <x v="4"/>
    <n v="3"/>
    <n v="337"/>
    <x v="1"/>
    <x v="31"/>
    <n v="252.22280000000001"/>
    <n v="0.24947853610286799"/>
    <x v="1"/>
  </r>
  <r>
    <n v="1102"/>
    <x v="32"/>
    <x v="1"/>
    <x v="2"/>
    <x v="1"/>
    <x v="3"/>
    <n v="7"/>
    <n v="420"/>
    <x v="3"/>
    <x v="32"/>
    <n v="457.33150000000001"/>
    <n v="0.22222133138969899"/>
    <x v="0"/>
  </r>
  <r>
    <n v="1386"/>
    <x v="33"/>
    <x v="1"/>
    <x v="2"/>
    <x v="0"/>
    <x v="3"/>
    <n v="2"/>
    <n v="262"/>
    <x v="2"/>
    <x v="33"/>
    <n v="40.3185"/>
    <n v="8.5493002544529198E-2"/>
    <x v="0"/>
  </r>
  <r>
    <n v="1112"/>
    <x v="34"/>
    <x v="2"/>
    <x v="0"/>
    <x v="0"/>
    <x v="3"/>
    <n v="7"/>
    <n v="169"/>
    <x v="2"/>
    <x v="34"/>
    <n v="148.47200000000001"/>
    <n v="0.139449610218841"/>
    <x v="0"/>
  </r>
  <r>
    <n v="1955"/>
    <x v="35"/>
    <x v="3"/>
    <x v="0"/>
    <x v="2"/>
    <x v="4"/>
    <n v="5"/>
    <n v="478"/>
    <x v="2"/>
    <x v="35"/>
    <n v="187.61449999999999"/>
    <n v="8.7221989772198999E-2"/>
    <x v="0"/>
  </r>
  <r>
    <n v="1560"/>
    <x v="36"/>
    <x v="5"/>
    <x v="3"/>
    <x v="2"/>
    <x v="2"/>
    <n v="7"/>
    <n v="118"/>
    <x v="2"/>
    <x v="36"/>
    <n v="109.93510000000001"/>
    <n v="0.147881490449287"/>
    <x v="0"/>
  </r>
  <r>
    <n v="1230"/>
    <x v="37"/>
    <x v="3"/>
    <x v="1"/>
    <x v="1"/>
    <x v="0"/>
    <n v="5"/>
    <n v="409"/>
    <x v="2"/>
    <x v="37"/>
    <n v="339.89519999999999"/>
    <n v="0.18467546862265699"/>
    <x v="0"/>
  </r>
  <r>
    <n v="1201"/>
    <x v="38"/>
    <x v="3"/>
    <x v="1"/>
    <x v="2"/>
    <x v="1"/>
    <n v="7"/>
    <n v="406"/>
    <x v="1"/>
    <x v="38"/>
    <n v="467.64179999999999"/>
    <n v="0.16454672765657999"/>
    <x v="0"/>
  </r>
  <r>
    <n v="1205"/>
    <x v="39"/>
    <x v="2"/>
    <x v="0"/>
    <x v="2"/>
    <x v="1"/>
    <n v="3"/>
    <n v="31"/>
    <x v="2"/>
    <x v="39"/>
    <n v="16.151399999999999"/>
    <n v="0.19296774193548399"/>
    <x v="0"/>
  </r>
  <r>
    <n v="1748"/>
    <x v="40"/>
    <x v="4"/>
    <x v="0"/>
    <x v="2"/>
    <x v="3"/>
    <n v="5"/>
    <n v="28"/>
    <x v="1"/>
    <x v="40"/>
    <n v="24.423400000000001"/>
    <n v="0.17445285714285699"/>
    <x v="0"/>
  </r>
  <r>
    <n v="1001"/>
    <x v="41"/>
    <x v="1"/>
    <x v="2"/>
    <x v="2"/>
    <x v="4"/>
    <n v="3"/>
    <n v="79"/>
    <x v="1"/>
    <x v="41"/>
    <n v="13.2834"/>
    <n v="5.6048101265822797E-2"/>
    <x v="0"/>
  </r>
  <r>
    <n v="1600"/>
    <x v="42"/>
    <x v="2"/>
    <x v="2"/>
    <x v="2"/>
    <x v="0"/>
    <n v="3"/>
    <n v="462"/>
    <x v="1"/>
    <x v="42"/>
    <n v="221.82900000000001"/>
    <n v="0.160049783549784"/>
    <x v="0"/>
  </r>
  <r>
    <n v="1441"/>
    <x v="43"/>
    <x v="2"/>
    <x v="0"/>
    <x v="0"/>
    <x v="4"/>
    <n v="3"/>
    <n v="331"/>
    <x v="2"/>
    <x v="43"/>
    <n v="119.5789"/>
    <n v="0.13380205885644"/>
    <x v="0"/>
  </r>
  <r>
    <n v="1974"/>
    <x v="44"/>
    <x v="4"/>
    <x v="0"/>
    <x v="0"/>
    <x v="3"/>
    <n v="3"/>
    <n v="202"/>
    <x v="0"/>
    <x v="44"/>
    <n v="128.25110000000001"/>
    <n v="0.26454434818481798"/>
    <x v="0"/>
  </r>
  <r>
    <n v="1313"/>
    <x v="10"/>
    <x v="4"/>
    <x v="1"/>
    <x v="0"/>
    <x v="3"/>
    <n v="6"/>
    <n v="449"/>
    <x v="1"/>
    <x v="10"/>
    <n v="382.75650000000002"/>
    <n v="0.142077394209354"/>
    <x v="0"/>
  </r>
  <r>
    <n v="1553"/>
    <x v="45"/>
    <x v="5"/>
    <x v="2"/>
    <x v="2"/>
    <x v="1"/>
    <n v="4"/>
    <n v="378"/>
    <x v="2"/>
    <x v="45"/>
    <n v="325.48689999999999"/>
    <n v="0.239187904174015"/>
    <x v="0"/>
  </r>
  <r>
    <n v="1492"/>
    <x v="46"/>
    <x v="6"/>
    <x v="1"/>
    <x v="0"/>
    <x v="4"/>
    <n v="3"/>
    <n v="338"/>
    <x v="2"/>
    <x v="46"/>
    <n v="222.8365"/>
    <n v="0.24417762436993201"/>
    <x v="0"/>
  </r>
  <r>
    <n v="1683"/>
    <x v="47"/>
    <x v="0"/>
    <x v="1"/>
    <x v="2"/>
    <x v="1"/>
    <n v="6"/>
    <n v="138"/>
    <x v="1"/>
    <x v="47"/>
    <n v="192.81979999999999"/>
    <n v="0.232874154589372"/>
    <x v="0"/>
  </r>
  <r>
    <n v="1489"/>
    <x v="48"/>
    <x v="4"/>
    <x v="1"/>
    <x v="0"/>
    <x v="0"/>
    <n v="2"/>
    <n v="308"/>
    <x v="1"/>
    <x v="48"/>
    <n v="61.307000000000002"/>
    <n v="9.9524350649350599E-2"/>
    <x v="0"/>
  </r>
  <r>
    <n v="1840"/>
    <x v="49"/>
    <x v="6"/>
    <x v="1"/>
    <x v="2"/>
    <x v="2"/>
    <n v="8"/>
    <n v="40"/>
    <x v="3"/>
    <x v="49"/>
    <n v="55.154200000000003"/>
    <n v="0.246224107142857"/>
    <x v="0"/>
  </r>
  <r>
    <n v="1387"/>
    <x v="50"/>
    <x v="2"/>
    <x v="0"/>
    <x v="2"/>
    <x v="2"/>
    <n v="4"/>
    <n v="376"/>
    <x v="1"/>
    <x v="50"/>
    <n v="269.69319999999999"/>
    <n v="0.179317287234043"/>
    <x v="0"/>
  </r>
  <r>
    <n v="1871"/>
    <x v="51"/>
    <x v="5"/>
    <x v="2"/>
    <x v="0"/>
    <x v="2"/>
    <n v="6"/>
    <n v="46"/>
    <x v="2"/>
    <x v="51"/>
    <n v="33.193199999999997"/>
    <n v="0.13362801932367199"/>
    <x v="0"/>
  </r>
  <r>
    <n v="1612"/>
    <x v="52"/>
    <x v="2"/>
    <x v="3"/>
    <x v="2"/>
    <x v="1"/>
    <n v="2"/>
    <n v="464"/>
    <x v="3"/>
    <x v="52"/>
    <n v="105.617"/>
    <n v="0.162587746305419"/>
    <x v="0"/>
  </r>
  <r>
    <n v="1663"/>
    <x v="53"/>
    <x v="0"/>
    <x v="1"/>
    <x v="2"/>
    <x v="0"/>
    <n v="2"/>
    <n v="400"/>
    <x v="3"/>
    <x v="53"/>
    <n v="77.753799999999998"/>
    <n v="0.138846071428571"/>
    <x v="1"/>
  </r>
  <r>
    <n v="1347"/>
    <x v="54"/>
    <x v="6"/>
    <x v="0"/>
    <x v="2"/>
    <x v="3"/>
    <n v="2"/>
    <n v="402"/>
    <x v="3"/>
    <x v="54"/>
    <n v="153.92439999999999"/>
    <n v="0.27349751243781101"/>
    <x v="1"/>
  </r>
  <r>
    <n v="1441"/>
    <x v="43"/>
    <x v="2"/>
    <x v="0"/>
    <x v="0"/>
    <x v="4"/>
    <n v="3"/>
    <n v="331"/>
    <x v="2"/>
    <x v="43"/>
    <n v="119.5789"/>
    <n v="0.13380205885644"/>
    <x v="0"/>
  </r>
  <r>
    <n v="1747"/>
    <x v="55"/>
    <x v="2"/>
    <x v="1"/>
    <x v="1"/>
    <x v="0"/>
    <n v="9"/>
    <n v="23"/>
    <x v="1"/>
    <x v="55"/>
    <n v="56.210599999999999"/>
    <n v="0.27154879227053103"/>
    <x v="0"/>
  </r>
  <r>
    <n v="1648"/>
    <x v="56"/>
    <x v="5"/>
    <x v="1"/>
    <x v="2"/>
    <x v="4"/>
    <n v="3"/>
    <n v="74"/>
    <x v="2"/>
    <x v="56"/>
    <n v="10.6197"/>
    <n v="5.3151651651651602E-2"/>
    <x v="0"/>
  </r>
  <r>
    <n v="1738"/>
    <x v="57"/>
    <x v="5"/>
    <x v="1"/>
    <x v="0"/>
    <x v="1"/>
    <n v="9"/>
    <n v="435"/>
    <x v="1"/>
    <x v="57"/>
    <n v="1121.3521000000001"/>
    <n v="0.28642454661558098"/>
    <x v="0"/>
  </r>
  <r>
    <n v="1455"/>
    <x v="58"/>
    <x v="4"/>
    <x v="3"/>
    <x v="2"/>
    <x v="3"/>
    <n v="9"/>
    <n v="397"/>
    <x v="1"/>
    <x v="58"/>
    <n v="830.28319999999997"/>
    <n v="0.23237705009795701"/>
    <x v="0"/>
  </r>
  <r>
    <n v="1632"/>
    <x v="59"/>
    <x v="0"/>
    <x v="1"/>
    <x v="2"/>
    <x v="3"/>
    <n v="5"/>
    <n v="31"/>
    <x v="2"/>
    <x v="59"/>
    <n v="40.703499999999998"/>
    <n v="0.29178136200716798"/>
    <x v="0"/>
  </r>
  <r>
    <n v="1391"/>
    <x v="60"/>
    <x v="2"/>
    <x v="3"/>
    <x v="0"/>
    <x v="1"/>
    <n v="9"/>
    <n v="114"/>
    <x v="1"/>
    <x v="60"/>
    <n v="158.72049999999999"/>
    <n v="0.154698343079922"/>
    <x v="0"/>
  </r>
  <r>
    <n v="1520"/>
    <x v="61"/>
    <x v="0"/>
    <x v="0"/>
    <x v="2"/>
    <x v="4"/>
    <n v="5"/>
    <n v="224"/>
    <x v="3"/>
    <x v="61"/>
    <n v="119.7747"/>
    <n v="0.15277385204081601"/>
    <x v="0"/>
  </r>
  <r>
    <n v="1166"/>
    <x v="62"/>
    <x v="3"/>
    <x v="1"/>
    <x v="1"/>
    <x v="4"/>
    <n v="1"/>
    <n v="322"/>
    <x v="0"/>
    <x v="62"/>
    <n v="58.454700000000003"/>
    <n v="0.226920419254658"/>
    <x v="0"/>
  </r>
  <r>
    <n v="1498"/>
    <x v="63"/>
    <x v="3"/>
    <x v="2"/>
    <x v="2"/>
    <x v="3"/>
    <n v="4"/>
    <n v="357"/>
    <x v="1"/>
    <x v="63"/>
    <n v="405.84559999999999"/>
    <n v="0.28420560224089603"/>
    <x v="0"/>
  </r>
  <r>
    <n v="1189"/>
    <x v="64"/>
    <x v="1"/>
    <x v="2"/>
    <x v="2"/>
    <x v="4"/>
    <n v="3"/>
    <n v="307"/>
    <x v="1"/>
    <x v="64"/>
    <n v="156.79400000000001"/>
    <n v="0.17024321389793701"/>
    <x v="0"/>
  </r>
  <r>
    <n v="1772"/>
    <x v="65"/>
    <x v="6"/>
    <x v="3"/>
    <x v="0"/>
    <x v="0"/>
    <n v="3"/>
    <n v="236"/>
    <x v="1"/>
    <x v="65"/>
    <n v="151.18889999999999"/>
    <n v="0.21354364406779699"/>
    <x v="0"/>
  </r>
  <r>
    <n v="1573"/>
    <x v="66"/>
    <x v="5"/>
    <x v="2"/>
    <x v="1"/>
    <x v="2"/>
    <n v="4"/>
    <n v="179"/>
    <x v="0"/>
    <x v="66"/>
    <n v="45.0749"/>
    <n v="7.8692213687150805E-2"/>
    <x v="1"/>
  </r>
  <r>
    <n v="1471"/>
    <x v="67"/>
    <x v="1"/>
    <x v="1"/>
    <x v="1"/>
    <x v="2"/>
    <n v="5"/>
    <n v="473"/>
    <x v="2"/>
    <x v="67"/>
    <n v="357.14519999999999"/>
    <n v="0.16779196617336201"/>
    <x v="0"/>
  </r>
  <r>
    <n v="1330"/>
    <x v="68"/>
    <x v="0"/>
    <x v="2"/>
    <x v="0"/>
    <x v="3"/>
    <n v="9"/>
    <n v="333"/>
    <x v="3"/>
    <x v="68"/>
    <n v="178.69470000000001"/>
    <n v="8.5177892177892206E-2"/>
    <x v="0"/>
  </r>
  <r>
    <n v="1683"/>
    <x v="69"/>
    <x v="1"/>
    <x v="1"/>
    <x v="1"/>
    <x v="1"/>
    <n v="4"/>
    <n v="383"/>
    <x v="0"/>
    <x v="69"/>
    <n v="258.25900000000001"/>
    <n v="0.21072046344647499"/>
    <x v="0"/>
  </r>
  <r>
    <n v="1040"/>
    <x v="70"/>
    <x v="0"/>
    <x v="2"/>
    <x v="1"/>
    <x v="0"/>
    <n v="2"/>
    <n v="233"/>
    <x v="0"/>
    <x v="70"/>
    <n v="24.732099999999999"/>
    <n v="6.6341469957081498E-2"/>
    <x v="0"/>
  </r>
  <r>
    <n v="1230"/>
    <x v="71"/>
    <x v="3"/>
    <x v="2"/>
    <x v="2"/>
    <x v="2"/>
    <n v="7"/>
    <n v="121"/>
    <x v="1"/>
    <x v="71"/>
    <n v="162.05869999999999"/>
    <n v="0.19133258559622199"/>
    <x v="0"/>
  </r>
  <r>
    <n v="1691"/>
    <x v="72"/>
    <x v="4"/>
    <x v="1"/>
    <x v="1"/>
    <x v="3"/>
    <n v="6"/>
    <n v="230"/>
    <x v="2"/>
    <x v="72"/>
    <n v="204.70179999999999"/>
    <n v="0.16481626409017699"/>
    <x v="0"/>
  </r>
  <r>
    <n v="1401"/>
    <x v="73"/>
    <x v="1"/>
    <x v="3"/>
    <x v="0"/>
    <x v="4"/>
    <n v="3"/>
    <n v="46"/>
    <x v="0"/>
    <x v="73"/>
    <n v="29.607399999999998"/>
    <n v="0.26818297101449301"/>
    <x v="0"/>
  </r>
  <r>
    <n v="1242"/>
    <x v="74"/>
    <x v="2"/>
    <x v="3"/>
    <x v="1"/>
    <x v="2"/>
    <n v="2"/>
    <n v="283"/>
    <x v="1"/>
    <x v="74"/>
    <n v="68.930000000000007"/>
    <n v="0.12178445229682"/>
    <x v="1"/>
  </r>
  <r>
    <n v="1106"/>
    <x v="75"/>
    <x v="3"/>
    <x v="0"/>
    <x v="0"/>
    <x v="0"/>
    <n v="1"/>
    <n v="41"/>
    <x v="1"/>
    <x v="75"/>
    <n v="3.6907000000000001"/>
    <n v="9.0017073170731696E-2"/>
    <x v="0"/>
  </r>
  <r>
    <n v="1047"/>
    <x v="76"/>
    <x v="3"/>
    <x v="3"/>
    <x v="2"/>
    <x v="1"/>
    <n v="9"/>
    <n v="95"/>
    <x v="2"/>
    <x v="76"/>
    <n v="202.1123"/>
    <n v="0.26265406107862199"/>
    <x v="0"/>
  </r>
  <r>
    <n v="1505"/>
    <x v="77"/>
    <x v="2"/>
    <x v="3"/>
    <x v="1"/>
    <x v="1"/>
    <n v="9"/>
    <n v="429"/>
    <x v="1"/>
    <x v="77"/>
    <n v="370.87299999999999"/>
    <n v="9.6056203056202993E-2"/>
    <x v="0"/>
  </r>
  <r>
    <n v="1663"/>
    <x v="78"/>
    <x v="5"/>
    <x v="3"/>
    <x v="2"/>
    <x v="0"/>
    <n v="8"/>
    <n v="328"/>
    <x v="2"/>
    <x v="78"/>
    <n v="228.72800000000001"/>
    <n v="9.6852981029810298E-2"/>
    <x v="0"/>
  </r>
  <r>
    <n v="1001"/>
    <x v="79"/>
    <x v="4"/>
    <x v="3"/>
    <x v="0"/>
    <x v="4"/>
    <n v="8"/>
    <n v="410"/>
    <x v="3"/>
    <x v="79"/>
    <n v="385.31880000000001"/>
    <n v="0.167821777003484"/>
    <x v="0"/>
  </r>
  <r>
    <n v="1159"/>
    <x v="80"/>
    <x v="4"/>
    <x v="1"/>
    <x v="2"/>
    <x v="1"/>
    <n v="4"/>
    <n v="60"/>
    <x v="0"/>
    <x v="80"/>
    <n v="55.8949"/>
    <n v="0.291119270833333"/>
    <x v="0"/>
  </r>
  <r>
    <n v="1955"/>
    <x v="81"/>
    <x v="1"/>
    <x v="2"/>
    <x v="0"/>
    <x v="3"/>
    <n v="1"/>
    <n v="34"/>
    <x v="3"/>
    <x v="81"/>
    <n v="3.6964000000000001"/>
    <n v="0.155310924369748"/>
    <x v="0"/>
  </r>
  <r>
    <n v="1775"/>
    <x v="82"/>
    <x v="1"/>
    <x v="3"/>
    <x v="0"/>
    <x v="2"/>
    <n v="9"/>
    <n v="339"/>
    <x v="1"/>
    <x v="82"/>
    <n v="465.20499999999998"/>
    <n v="0.152476237299246"/>
    <x v="0"/>
  </r>
  <r>
    <n v="1251"/>
    <x v="83"/>
    <x v="1"/>
    <x v="2"/>
    <x v="1"/>
    <x v="3"/>
    <n v="1"/>
    <n v="65"/>
    <x v="2"/>
    <x v="83"/>
    <n v="11.849500000000001"/>
    <n v="0.20255555555555599"/>
    <x v="0"/>
  </r>
  <r>
    <n v="1080"/>
    <x v="84"/>
    <x v="6"/>
    <x v="0"/>
    <x v="1"/>
    <x v="1"/>
    <n v="2"/>
    <n v="293"/>
    <x v="1"/>
    <x v="84"/>
    <n v="115.40819999999999"/>
    <n v="0.196942320819113"/>
    <x v="0"/>
  </r>
  <r>
    <n v="1020"/>
    <x v="85"/>
    <x v="6"/>
    <x v="2"/>
    <x v="2"/>
    <x v="0"/>
    <n v="5"/>
    <n v="496"/>
    <x v="1"/>
    <x v="85"/>
    <n v="331.2278"/>
    <n v="0.13355959677419399"/>
    <x v="0"/>
  </r>
  <r>
    <n v="1476"/>
    <x v="86"/>
    <x v="0"/>
    <x v="2"/>
    <x v="0"/>
    <x v="1"/>
    <n v="1"/>
    <n v="27"/>
    <x v="1"/>
    <x v="86"/>
    <n v="3.1002999999999998"/>
    <n v="0.114825925925926"/>
    <x v="1"/>
  </r>
  <r>
    <n v="1071"/>
    <x v="87"/>
    <x v="3"/>
    <x v="3"/>
    <x v="0"/>
    <x v="1"/>
    <n v="9"/>
    <n v="493"/>
    <x v="3"/>
    <x v="87"/>
    <n v="513.68280000000004"/>
    <n v="0.16538935574229699"/>
    <x v="0"/>
  </r>
  <r>
    <n v="1013"/>
    <x v="88"/>
    <x v="3"/>
    <x v="1"/>
    <x v="2"/>
    <x v="2"/>
    <n v="4"/>
    <n v="281"/>
    <x v="3"/>
    <x v="88"/>
    <n v="103.8955"/>
    <n v="0.13204816980172901"/>
    <x v="0"/>
  </r>
  <r>
    <n v="1957"/>
    <x v="89"/>
    <x v="6"/>
    <x v="2"/>
    <x v="1"/>
    <x v="4"/>
    <n v="8"/>
    <n v="485"/>
    <x v="3"/>
    <x v="89"/>
    <n v="478.83539999999999"/>
    <n v="0.176301693667158"/>
    <x v="0"/>
  </r>
  <r>
    <n v="1645"/>
    <x v="90"/>
    <x v="1"/>
    <x v="2"/>
    <x v="0"/>
    <x v="1"/>
    <n v="9"/>
    <n v="270"/>
    <x v="3"/>
    <x v="90"/>
    <n v="152.22030000000001"/>
    <n v="8.9488712522045905E-2"/>
    <x v="0"/>
  </r>
  <r>
    <n v="1646"/>
    <x v="91"/>
    <x v="0"/>
    <x v="3"/>
    <x v="1"/>
    <x v="1"/>
    <n v="6"/>
    <n v="111"/>
    <x v="1"/>
    <x v="91"/>
    <n v="43.048699999999997"/>
    <n v="6.4637687687687698E-2"/>
    <x v="0"/>
  </r>
  <r>
    <n v="1087"/>
    <x v="92"/>
    <x v="3"/>
    <x v="3"/>
    <x v="0"/>
    <x v="2"/>
    <n v="2"/>
    <n v="183"/>
    <x v="0"/>
    <x v="92"/>
    <n v="55.272199999999998"/>
    <n v="0.18877117486338801"/>
    <x v="0"/>
  </r>
  <r>
    <n v="1642"/>
    <x v="93"/>
    <x v="5"/>
    <x v="0"/>
    <x v="2"/>
    <x v="2"/>
    <n v="1"/>
    <n v="244"/>
    <x v="1"/>
    <x v="93"/>
    <n v="37.317700000000002"/>
    <n v="0.152941393442623"/>
    <x v="0"/>
  </r>
  <r>
    <n v="1856"/>
    <x v="94"/>
    <x v="4"/>
    <x v="3"/>
    <x v="2"/>
    <x v="3"/>
    <n v="5"/>
    <n v="484"/>
    <x v="3"/>
    <x v="94"/>
    <n v="335.85430000000002"/>
    <n v="0.198261097992916"/>
    <x v="0"/>
  </r>
  <r>
    <n v="1686"/>
    <x v="95"/>
    <x v="3"/>
    <x v="3"/>
    <x v="1"/>
    <x v="2"/>
    <n v="8"/>
    <n v="194"/>
    <x v="3"/>
    <x v="95"/>
    <n v="71.934200000000004"/>
    <n v="6.6213365243004405E-2"/>
    <x v="0"/>
  </r>
  <r>
    <n v="1854"/>
    <x v="96"/>
    <x v="4"/>
    <x v="1"/>
    <x v="0"/>
    <x v="2"/>
    <n v="7"/>
    <n v="232"/>
    <x v="1"/>
    <x v="96"/>
    <n v="355.72809999999998"/>
    <n v="0.219044396551724"/>
    <x v="0"/>
  </r>
  <r>
    <n v="1219"/>
    <x v="97"/>
    <x v="1"/>
    <x v="2"/>
    <x v="0"/>
    <x v="0"/>
    <n v="6"/>
    <n v="324"/>
    <x v="1"/>
    <x v="97"/>
    <n v="405.3931"/>
    <n v="0.20853554526748999"/>
    <x v="1"/>
  </r>
  <r>
    <n v="1951"/>
    <x v="98"/>
    <x v="6"/>
    <x v="1"/>
    <x v="2"/>
    <x v="0"/>
    <n v="9"/>
    <n v="457"/>
    <x v="2"/>
    <x v="98"/>
    <n v="787.67330000000004"/>
    <n v="0.21278690871761599"/>
    <x v="0"/>
  </r>
  <r>
    <n v="1295"/>
    <x v="99"/>
    <x v="1"/>
    <x v="3"/>
    <x v="2"/>
    <x v="2"/>
    <n v="5"/>
    <n v="172"/>
    <x v="3"/>
    <x v="99"/>
    <n v="143.18199999999999"/>
    <n v="0.237843853820598"/>
    <x v="0"/>
  </r>
  <r>
    <n v="1870"/>
    <x v="100"/>
    <x v="4"/>
    <x v="2"/>
    <x v="2"/>
    <x v="4"/>
    <n v="7"/>
    <n v="135"/>
    <x v="1"/>
    <x v="100"/>
    <n v="59.524700000000003"/>
    <n v="6.2989100529100506E-2"/>
    <x v="0"/>
  </r>
  <r>
    <n v="1106"/>
    <x v="75"/>
    <x v="3"/>
    <x v="0"/>
    <x v="0"/>
    <x v="0"/>
    <n v="1"/>
    <n v="41"/>
    <x v="1"/>
    <x v="75"/>
    <n v="3.6907000000000001"/>
    <n v="9.0017073170731696E-2"/>
    <x v="0"/>
  </r>
  <r>
    <n v="1592"/>
    <x v="101"/>
    <x v="0"/>
    <x v="1"/>
    <x v="2"/>
    <x v="1"/>
    <n v="6"/>
    <n v="385"/>
    <x v="1"/>
    <x v="101"/>
    <n v="145.6789"/>
    <n v="6.3064458874458898E-2"/>
    <x v="0"/>
  </r>
  <r>
    <n v="1829"/>
    <x v="102"/>
    <x v="0"/>
    <x v="1"/>
    <x v="2"/>
    <x v="1"/>
    <n v="5"/>
    <n v="56"/>
    <x v="1"/>
    <x v="102"/>
    <n v="48.594900000000003"/>
    <n v="0.17355321428571399"/>
    <x v="0"/>
  </r>
  <r>
    <n v="1995"/>
    <x v="103"/>
    <x v="2"/>
    <x v="3"/>
    <x v="2"/>
    <x v="2"/>
    <n v="6"/>
    <n v="467"/>
    <x v="0"/>
    <x v="103"/>
    <n v="186.88220000000001"/>
    <n v="8.33700035688794E-2"/>
    <x v="0"/>
  </r>
  <r>
    <n v="1671"/>
    <x v="104"/>
    <x v="5"/>
    <x v="3"/>
    <x v="0"/>
    <x v="0"/>
    <n v="9"/>
    <n v="319"/>
    <x v="3"/>
    <x v="104"/>
    <n v="457.32870000000003"/>
    <n v="0.22756068069861199"/>
    <x v="0"/>
  </r>
  <r>
    <n v="1460"/>
    <x v="105"/>
    <x v="6"/>
    <x v="1"/>
    <x v="0"/>
    <x v="4"/>
    <n v="8"/>
    <n v="193"/>
    <x v="1"/>
    <x v="105"/>
    <n v="156.2842"/>
    <n v="0.10122033678756499"/>
    <x v="0"/>
  </r>
  <r>
    <n v="1098"/>
    <x v="106"/>
    <x v="5"/>
    <x v="3"/>
    <x v="2"/>
    <x v="0"/>
    <n v="1"/>
    <n v="329"/>
    <x v="1"/>
    <x v="106"/>
    <n v="22.015699999999999"/>
    <n v="6.6917021276595698E-2"/>
    <x v="1"/>
  </r>
  <r>
    <n v="1818"/>
    <x v="107"/>
    <x v="1"/>
    <x v="1"/>
    <x v="1"/>
    <x v="4"/>
    <n v="6"/>
    <n v="459"/>
    <x v="1"/>
    <x v="107"/>
    <n v="190.75460000000001"/>
    <n v="6.9264560639070397E-2"/>
    <x v="0"/>
  </r>
  <r>
    <n v="1698"/>
    <x v="108"/>
    <x v="6"/>
    <x v="3"/>
    <x v="2"/>
    <x v="3"/>
    <n v="8"/>
    <n v="226"/>
    <x v="2"/>
    <x v="108"/>
    <n v="224.70609999999999"/>
    <n v="0.13809371927236999"/>
    <x v="0"/>
  </r>
  <r>
    <n v="1288"/>
    <x v="109"/>
    <x v="2"/>
    <x v="1"/>
    <x v="2"/>
    <x v="0"/>
    <n v="2"/>
    <n v="30"/>
    <x v="2"/>
    <x v="109"/>
    <n v="15.9475"/>
    <n v="0.29532407407407402"/>
    <x v="0"/>
  </r>
  <r>
    <n v="1742"/>
    <x v="110"/>
    <x v="2"/>
    <x v="1"/>
    <x v="0"/>
    <x v="1"/>
    <n v="3"/>
    <n v="394"/>
    <x v="2"/>
    <x v="110"/>
    <n v="116.6979"/>
    <n v="0.10969909757473199"/>
    <x v="0"/>
  </r>
  <r>
    <n v="1562"/>
    <x v="111"/>
    <x v="0"/>
    <x v="0"/>
    <x v="0"/>
    <x v="0"/>
    <n v="1"/>
    <n v="103"/>
    <x v="1"/>
    <x v="111"/>
    <n v="19.6082"/>
    <n v="0.19037087378640799"/>
    <x v="0"/>
  </r>
  <r>
    <n v="1258"/>
    <x v="112"/>
    <x v="4"/>
    <x v="0"/>
    <x v="2"/>
    <x v="3"/>
    <n v="5"/>
    <n v="44"/>
    <x v="2"/>
    <x v="112"/>
    <n v="41.316200000000002"/>
    <n v="0.208667676767677"/>
    <x v="1"/>
  </r>
  <r>
    <n v="1556"/>
    <x v="113"/>
    <x v="1"/>
    <x v="3"/>
    <x v="0"/>
    <x v="4"/>
    <n v="3"/>
    <n v="103"/>
    <x v="3"/>
    <x v="113"/>
    <n v="32.2271"/>
    <n v="0.14899260286638899"/>
    <x v="1"/>
  </r>
  <r>
    <n v="1112"/>
    <x v="114"/>
    <x v="4"/>
    <x v="1"/>
    <x v="0"/>
    <x v="3"/>
    <n v="2"/>
    <n v="372"/>
    <x v="0"/>
    <x v="114"/>
    <n v="154.9674"/>
    <n v="0.26036189516128999"/>
    <x v="0"/>
  </r>
  <r>
    <n v="1129"/>
    <x v="115"/>
    <x v="2"/>
    <x v="2"/>
    <x v="1"/>
    <x v="3"/>
    <n v="4"/>
    <n v="23"/>
    <x v="1"/>
    <x v="115"/>
    <n v="23.851900000000001"/>
    <n v="0.25925978260869598"/>
    <x v="0"/>
  </r>
  <r>
    <n v="1735"/>
    <x v="116"/>
    <x v="0"/>
    <x v="2"/>
    <x v="0"/>
    <x v="3"/>
    <n v="2"/>
    <n v="461"/>
    <x v="0"/>
    <x v="116"/>
    <n v="163.43870000000001"/>
    <n v="0.221581751626898"/>
    <x v="0"/>
  </r>
  <r>
    <n v="1729"/>
    <x v="117"/>
    <x v="0"/>
    <x v="0"/>
    <x v="2"/>
    <x v="3"/>
    <n v="1"/>
    <n v="401"/>
    <x v="3"/>
    <x v="117"/>
    <n v="62.747"/>
    <n v="0.223537584609904"/>
    <x v="0"/>
  </r>
  <r>
    <n v="1771"/>
    <x v="0"/>
    <x v="0"/>
    <x v="0"/>
    <x v="0"/>
    <x v="0"/>
    <n v="9"/>
    <n v="112"/>
    <x v="0"/>
    <x v="0"/>
    <n v="100.5431"/>
    <n v="0.12468142361111099"/>
    <x v="0"/>
  </r>
  <r>
    <n v="1032"/>
    <x v="118"/>
    <x v="2"/>
    <x v="2"/>
    <x v="1"/>
    <x v="2"/>
    <n v="8"/>
    <n v="420"/>
    <x v="3"/>
    <x v="118"/>
    <n v="265.16840000000002"/>
    <n v="0.112741666666667"/>
    <x v="0"/>
  </r>
  <r>
    <n v="1315"/>
    <x v="119"/>
    <x v="3"/>
    <x v="3"/>
    <x v="1"/>
    <x v="4"/>
    <n v="3"/>
    <n v="103"/>
    <x v="3"/>
    <x v="113"/>
    <n v="18.788499999999999"/>
    <n v="8.6863153028201606E-2"/>
    <x v="0"/>
  </r>
  <r>
    <n v="1637"/>
    <x v="120"/>
    <x v="1"/>
    <x v="2"/>
    <x v="1"/>
    <x v="0"/>
    <n v="4"/>
    <n v="312"/>
    <x v="1"/>
    <x v="119"/>
    <n v="133.28"/>
    <n v="0.106794871794872"/>
    <x v="0"/>
  </r>
  <r>
    <n v="1345"/>
    <x v="121"/>
    <x v="1"/>
    <x v="2"/>
    <x v="2"/>
    <x v="4"/>
    <n v="9"/>
    <n v="472"/>
    <x v="1"/>
    <x v="120"/>
    <n v="446.68990000000002"/>
    <n v="0.105152989642185"/>
    <x v="0"/>
  </r>
  <r>
    <n v="1112"/>
    <x v="122"/>
    <x v="1"/>
    <x v="1"/>
    <x v="2"/>
    <x v="3"/>
    <n v="7"/>
    <n v="54"/>
    <x v="0"/>
    <x v="121"/>
    <n v="41.424399999999999"/>
    <n v="0.13698544973544999"/>
    <x v="0"/>
  </r>
  <r>
    <n v="1366"/>
    <x v="123"/>
    <x v="0"/>
    <x v="0"/>
    <x v="0"/>
    <x v="2"/>
    <n v="8"/>
    <n v="441"/>
    <x v="1"/>
    <x v="122"/>
    <n v="743.14250000000004"/>
    <n v="0.21064129818594099"/>
    <x v="0"/>
  </r>
  <r>
    <n v="1267"/>
    <x v="124"/>
    <x v="5"/>
    <x v="1"/>
    <x v="0"/>
    <x v="4"/>
    <n v="5"/>
    <n v="78"/>
    <x v="2"/>
    <x v="123"/>
    <n v="80.029200000000003"/>
    <n v="0.22800341880341901"/>
    <x v="0"/>
  </r>
  <r>
    <n v="1996"/>
    <x v="125"/>
    <x v="3"/>
    <x v="0"/>
    <x v="0"/>
    <x v="1"/>
    <n v="9"/>
    <n v="178"/>
    <x v="1"/>
    <x v="124"/>
    <n v="210.30420000000001"/>
    <n v="0.131276029962547"/>
    <x v="0"/>
  </r>
  <r>
    <n v="1766"/>
    <x v="126"/>
    <x v="3"/>
    <x v="0"/>
    <x v="2"/>
    <x v="1"/>
    <n v="5"/>
    <n v="436"/>
    <x v="1"/>
    <x v="125"/>
    <n v="548.49"/>
    <n v="0.25160091743119301"/>
    <x v="1"/>
  </r>
  <r>
    <n v="1491"/>
    <x v="127"/>
    <x v="0"/>
    <x v="3"/>
    <x v="1"/>
    <x v="3"/>
    <n v="1"/>
    <n v="153"/>
    <x v="0"/>
    <x v="126"/>
    <n v="28.939499999999999"/>
    <n v="0.236433823529412"/>
    <x v="1"/>
  </r>
  <r>
    <n v="1413"/>
    <x v="128"/>
    <x v="3"/>
    <x v="0"/>
    <x v="2"/>
    <x v="2"/>
    <n v="5"/>
    <n v="386"/>
    <x v="2"/>
    <x v="127"/>
    <n v="174.77719999999999"/>
    <n v="0.100620149683362"/>
    <x v="0"/>
  </r>
  <r>
    <n v="1269"/>
    <x v="129"/>
    <x v="0"/>
    <x v="0"/>
    <x v="0"/>
    <x v="4"/>
    <n v="6"/>
    <n v="447"/>
    <x v="0"/>
    <x v="128"/>
    <n v="150.5147"/>
    <n v="7.0150400820283398E-2"/>
    <x v="0"/>
  </r>
  <r>
    <n v="1288"/>
    <x v="109"/>
    <x v="2"/>
    <x v="1"/>
    <x v="2"/>
    <x v="0"/>
    <n v="2"/>
    <n v="30"/>
    <x v="2"/>
    <x v="109"/>
    <n v="15.9475"/>
    <n v="0.29532407407407402"/>
    <x v="0"/>
  </r>
  <r>
    <n v="1134"/>
    <x v="130"/>
    <x v="0"/>
    <x v="2"/>
    <x v="0"/>
    <x v="1"/>
    <n v="7"/>
    <n v="286"/>
    <x v="1"/>
    <x v="129"/>
    <n v="404.66789999999997"/>
    <n v="0.202131818181818"/>
    <x v="0"/>
  </r>
  <r>
    <n v="1863"/>
    <x v="131"/>
    <x v="4"/>
    <x v="3"/>
    <x v="2"/>
    <x v="4"/>
    <n v="5"/>
    <n v="125"/>
    <x v="2"/>
    <x v="130"/>
    <n v="150.55009999999999"/>
    <n v="0.26764462222222202"/>
    <x v="0"/>
  </r>
  <r>
    <n v="1308"/>
    <x v="132"/>
    <x v="6"/>
    <x v="0"/>
    <x v="2"/>
    <x v="1"/>
    <n v="9"/>
    <n v="48"/>
    <x v="2"/>
    <x v="131"/>
    <n v="19.9483"/>
    <n v="5.1307355967078201E-2"/>
    <x v="0"/>
  </r>
  <r>
    <n v="1339"/>
    <x v="133"/>
    <x v="4"/>
    <x v="0"/>
    <x v="1"/>
    <x v="1"/>
    <n v="9"/>
    <n v="227"/>
    <x v="1"/>
    <x v="132"/>
    <n v="564.96270000000004"/>
    <n v="0.27653582966226098"/>
    <x v="0"/>
  </r>
  <r>
    <n v="1160"/>
    <x v="134"/>
    <x v="3"/>
    <x v="0"/>
    <x v="2"/>
    <x v="1"/>
    <n v="5"/>
    <n v="490"/>
    <x v="1"/>
    <x v="133"/>
    <n v="659.44860000000006"/>
    <n v="0.26916269387755098"/>
    <x v="0"/>
  </r>
  <r>
    <n v="1779"/>
    <x v="135"/>
    <x v="6"/>
    <x v="2"/>
    <x v="1"/>
    <x v="1"/>
    <n v="5"/>
    <n v="107"/>
    <x v="1"/>
    <x v="134"/>
    <n v="46.979300000000002"/>
    <n v="8.7811775700934597E-2"/>
    <x v="0"/>
  </r>
  <r>
    <n v="1795"/>
    <x v="136"/>
    <x v="4"/>
    <x v="1"/>
    <x v="0"/>
    <x v="1"/>
    <n v="1"/>
    <n v="197"/>
    <x v="1"/>
    <x v="135"/>
    <n v="38.296500000000002"/>
    <n v="0.19439847715736"/>
    <x v="0"/>
  </r>
  <r>
    <n v="1641"/>
    <x v="137"/>
    <x v="6"/>
    <x v="2"/>
    <x v="1"/>
    <x v="0"/>
    <n v="3"/>
    <n v="351"/>
    <x v="2"/>
    <x v="136"/>
    <n v="279.35939999999999"/>
    <n v="0.29477619499841701"/>
    <x v="0"/>
  </r>
  <r>
    <n v="1064"/>
    <x v="138"/>
    <x v="3"/>
    <x v="0"/>
    <x v="0"/>
    <x v="4"/>
    <n v="3"/>
    <n v="91"/>
    <x v="1"/>
    <x v="137"/>
    <n v="75.514399999999995"/>
    <n v="0.27660952380952403"/>
    <x v="0"/>
  </r>
  <r>
    <n v="1358"/>
    <x v="139"/>
    <x v="0"/>
    <x v="0"/>
    <x v="1"/>
    <x v="2"/>
    <n v="1"/>
    <n v="320"/>
    <x v="1"/>
    <x v="138"/>
    <n v="29.276399999999999"/>
    <n v="9.1488749999999994E-2"/>
    <x v="0"/>
  </r>
  <r>
    <n v="1384"/>
    <x v="140"/>
    <x v="4"/>
    <x v="2"/>
    <x v="1"/>
    <x v="4"/>
    <n v="2"/>
    <n v="381"/>
    <x v="2"/>
    <x v="139"/>
    <n v="48.599899999999998"/>
    <n v="7.0865995917177002E-2"/>
    <x v="0"/>
  </r>
  <r>
    <n v="1857"/>
    <x v="141"/>
    <x v="3"/>
    <x v="0"/>
    <x v="0"/>
    <x v="4"/>
    <n v="7"/>
    <n v="185"/>
    <x v="0"/>
    <x v="140"/>
    <n v="137.32570000000001"/>
    <n v="0.13255376447876399"/>
    <x v="0"/>
  </r>
  <r>
    <n v="1392"/>
    <x v="142"/>
    <x v="5"/>
    <x v="1"/>
    <x v="2"/>
    <x v="3"/>
    <n v="8"/>
    <n v="425"/>
    <x v="3"/>
    <x v="141"/>
    <n v="238.8115"/>
    <n v="0.100340966386555"/>
    <x v="0"/>
  </r>
  <r>
    <n v="1270"/>
    <x v="143"/>
    <x v="4"/>
    <x v="0"/>
    <x v="1"/>
    <x v="4"/>
    <n v="3"/>
    <n v="212"/>
    <x v="0"/>
    <x v="142"/>
    <n v="122.2547"/>
    <n v="0.240280463836478"/>
    <x v="0"/>
  </r>
  <r>
    <n v="1216"/>
    <x v="144"/>
    <x v="2"/>
    <x v="1"/>
    <x v="0"/>
    <x v="2"/>
    <n v="7"/>
    <n v="28"/>
    <x v="1"/>
    <x v="143"/>
    <n v="22.027799999999999"/>
    <n v="0.112386734693878"/>
    <x v="0"/>
  </r>
  <r>
    <n v="1742"/>
    <x v="110"/>
    <x v="2"/>
    <x v="1"/>
    <x v="0"/>
    <x v="1"/>
    <n v="3"/>
    <n v="394"/>
    <x v="2"/>
    <x v="110"/>
    <n v="116.6979"/>
    <n v="0.10969909757473199"/>
    <x v="0"/>
  </r>
  <r>
    <n v="1702"/>
    <x v="145"/>
    <x v="2"/>
    <x v="1"/>
    <x v="0"/>
    <x v="0"/>
    <n v="8"/>
    <n v="98"/>
    <x v="1"/>
    <x v="61"/>
    <n v="123.4127"/>
    <n v="0.15741415816326501"/>
    <x v="0"/>
  </r>
  <r>
    <n v="1004"/>
    <x v="146"/>
    <x v="2"/>
    <x v="2"/>
    <x v="0"/>
    <x v="1"/>
    <n v="8"/>
    <n v="252"/>
    <x v="3"/>
    <x v="144"/>
    <n v="262.98840000000001"/>
    <n v="0.186357993197279"/>
    <x v="0"/>
  </r>
  <r>
    <n v="1812"/>
    <x v="147"/>
    <x v="0"/>
    <x v="1"/>
    <x v="1"/>
    <x v="4"/>
    <n v="8"/>
    <n v="363"/>
    <x v="2"/>
    <x v="145"/>
    <n v="171.61760000000001"/>
    <n v="6.5663299663299701E-2"/>
    <x v="1"/>
  </r>
  <r>
    <n v="1484"/>
    <x v="148"/>
    <x v="2"/>
    <x v="2"/>
    <x v="2"/>
    <x v="4"/>
    <n v="8"/>
    <n v="255"/>
    <x v="3"/>
    <x v="63"/>
    <n v="249.2773"/>
    <n v="0.17456393557423"/>
    <x v="0"/>
  </r>
  <r>
    <n v="1699"/>
    <x v="149"/>
    <x v="5"/>
    <x v="3"/>
    <x v="1"/>
    <x v="1"/>
    <n v="3"/>
    <n v="176"/>
    <x v="2"/>
    <x v="146"/>
    <n v="118.11060000000001"/>
    <n v="0.24854924242424201"/>
    <x v="0"/>
  </r>
  <r>
    <n v="1957"/>
    <x v="150"/>
    <x v="3"/>
    <x v="2"/>
    <x v="1"/>
    <x v="3"/>
    <n v="3"/>
    <n v="409"/>
    <x v="1"/>
    <x v="147"/>
    <n v="363.04520000000002"/>
    <n v="0.29588035859820699"/>
    <x v="1"/>
  </r>
  <r>
    <n v="1700"/>
    <x v="151"/>
    <x v="2"/>
    <x v="1"/>
    <x v="2"/>
    <x v="4"/>
    <n v="8"/>
    <n v="139"/>
    <x v="2"/>
    <x v="148"/>
    <n v="52.3748"/>
    <n v="5.23329336530775E-2"/>
    <x v="0"/>
  </r>
  <r>
    <n v="1957"/>
    <x v="152"/>
    <x v="4"/>
    <x v="3"/>
    <x v="2"/>
    <x v="0"/>
    <n v="4"/>
    <n v="481"/>
    <x v="3"/>
    <x v="149"/>
    <n v="262.62049999999999"/>
    <n v="0.194995916245916"/>
    <x v="0"/>
  </r>
  <r>
    <n v="1565"/>
    <x v="153"/>
    <x v="6"/>
    <x v="3"/>
    <x v="1"/>
    <x v="2"/>
    <n v="3"/>
    <n v="369"/>
    <x v="2"/>
    <x v="150"/>
    <n v="81.264399999999995"/>
    <n v="8.1566194921208507E-2"/>
    <x v="0"/>
  </r>
  <r>
    <n v="1957"/>
    <x v="150"/>
    <x v="3"/>
    <x v="2"/>
    <x v="1"/>
    <x v="3"/>
    <n v="3"/>
    <n v="409"/>
    <x v="1"/>
    <x v="147"/>
    <n v="363.04520000000002"/>
    <n v="0.29588035859820699"/>
    <x v="1"/>
  </r>
  <r>
    <n v="1719"/>
    <x v="154"/>
    <x v="3"/>
    <x v="1"/>
    <x v="0"/>
    <x v="2"/>
    <n v="7"/>
    <n v="225"/>
    <x v="3"/>
    <x v="151"/>
    <n v="318.7919"/>
    <n v="0.28915365079365102"/>
    <x v="1"/>
  </r>
  <r>
    <n v="1681"/>
    <x v="155"/>
    <x v="2"/>
    <x v="0"/>
    <x v="2"/>
    <x v="2"/>
    <n v="6"/>
    <n v="394"/>
    <x v="1"/>
    <x v="152"/>
    <n v="484.37729999999999"/>
    <n v="0.20489733502538099"/>
    <x v="0"/>
  </r>
  <r>
    <n v="1690"/>
    <x v="156"/>
    <x v="0"/>
    <x v="0"/>
    <x v="2"/>
    <x v="0"/>
    <n v="4"/>
    <n v="141"/>
    <x v="0"/>
    <x v="153"/>
    <n v="121.5792"/>
    <n v="0.26945744680851103"/>
    <x v="0"/>
  </r>
  <r>
    <n v="1574"/>
    <x v="157"/>
    <x v="5"/>
    <x v="0"/>
    <x v="1"/>
    <x v="4"/>
    <n v="6"/>
    <n v="162"/>
    <x v="1"/>
    <x v="154"/>
    <n v="262.33839999999998"/>
    <n v="0.26989547325102903"/>
    <x v="0"/>
  </r>
  <r>
    <n v="1187"/>
    <x v="158"/>
    <x v="4"/>
    <x v="1"/>
    <x v="0"/>
    <x v="4"/>
    <n v="4"/>
    <n v="451"/>
    <x v="2"/>
    <x v="155"/>
    <n v="389.41980000000001"/>
    <n v="0.23984959349593499"/>
    <x v="0"/>
  </r>
  <r>
    <n v="1573"/>
    <x v="159"/>
    <x v="5"/>
    <x v="1"/>
    <x v="0"/>
    <x v="4"/>
    <n v="6"/>
    <n v="337"/>
    <x v="0"/>
    <x v="156"/>
    <n v="450.94240000000002"/>
    <n v="0.278772502472799"/>
    <x v="0"/>
  </r>
  <r>
    <n v="1826"/>
    <x v="160"/>
    <x v="5"/>
    <x v="1"/>
    <x v="1"/>
    <x v="4"/>
    <n v="8"/>
    <n v="307"/>
    <x v="1"/>
    <x v="157"/>
    <n v="625.70500000000004"/>
    <n v="0.25476587947882701"/>
    <x v="0"/>
  </r>
  <r>
    <n v="1243"/>
    <x v="161"/>
    <x v="0"/>
    <x v="1"/>
    <x v="2"/>
    <x v="4"/>
    <n v="3"/>
    <n v="46"/>
    <x v="0"/>
    <x v="73"/>
    <n v="24.1905"/>
    <n v="0.21911684782608701"/>
    <x v="0"/>
  </r>
  <r>
    <n v="1459"/>
    <x v="162"/>
    <x v="0"/>
    <x v="3"/>
    <x v="0"/>
    <x v="3"/>
    <n v="9"/>
    <n v="45"/>
    <x v="1"/>
    <x v="158"/>
    <n v="121.1289"/>
    <n v="0.29908370370370402"/>
    <x v="0"/>
  </r>
  <r>
    <n v="1014"/>
    <x v="163"/>
    <x v="5"/>
    <x v="2"/>
    <x v="0"/>
    <x v="3"/>
    <n v="9"/>
    <n v="213"/>
    <x v="0"/>
    <x v="159"/>
    <n v="139.82839999999999"/>
    <n v="9.1176577986437093E-2"/>
    <x v="0"/>
  </r>
  <r>
    <n v="1838"/>
    <x v="164"/>
    <x v="2"/>
    <x v="1"/>
    <x v="0"/>
    <x v="0"/>
    <n v="3"/>
    <n v="83"/>
    <x v="1"/>
    <x v="160"/>
    <n v="45.593200000000003"/>
    <n v="0.18310522088353401"/>
    <x v="1"/>
  </r>
  <r>
    <n v="1856"/>
    <x v="165"/>
    <x v="2"/>
    <x v="1"/>
    <x v="2"/>
    <x v="2"/>
    <n v="2"/>
    <n v="414"/>
    <x v="2"/>
    <x v="161"/>
    <n v="63.2014"/>
    <n v="8.4811325818572203E-2"/>
    <x v="0"/>
  </r>
  <r>
    <n v="1821"/>
    <x v="166"/>
    <x v="2"/>
    <x v="1"/>
    <x v="0"/>
    <x v="2"/>
    <n v="7"/>
    <n v="328"/>
    <x v="1"/>
    <x v="79"/>
    <n v="654.74990000000003"/>
    <n v="0.28516981707317102"/>
    <x v="0"/>
  </r>
  <r>
    <n v="1376"/>
    <x v="167"/>
    <x v="0"/>
    <x v="2"/>
    <x v="1"/>
    <x v="3"/>
    <n v="8"/>
    <n v="33"/>
    <x v="1"/>
    <x v="162"/>
    <n v="71.439499999999995"/>
    <n v="0.27060416666666698"/>
    <x v="0"/>
  </r>
  <r>
    <n v="1217"/>
    <x v="168"/>
    <x v="2"/>
    <x v="0"/>
    <x v="2"/>
    <x v="4"/>
    <n v="4"/>
    <n v="480"/>
    <x v="1"/>
    <x v="163"/>
    <n v="125.89109999999999"/>
    <n v="6.5568281249999999E-2"/>
    <x v="0"/>
  </r>
  <r>
    <n v="1725"/>
    <x v="169"/>
    <x v="5"/>
    <x v="3"/>
    <x v="1"/>
    <x v="4"/>
    <n v="2"/>
    <n v="167"/>
    <x v="1"/>
    <x v="164"/>
    <n v="23.524100000000001"/>
    <n v="7.0431437125748494E-2"/>
    <x v="0"/>
  </r>
  <r>
    <n v="1805"/>
    <x v="170"/>
    <x v="0"/>
    <x v="3"/>
    <x v="0"/>
    <x v="4"/>
    <n v="9"/>
    <n v="98"/>
    <x v="3"/>
    <x v="165"/>
    <n v="178.74860000000001"/>
    <n v="0.28951830255911898"/>
    <x v="1"/>
  </r>
  <r>
    <n v="1389"/>
    <x v="171"/>
    <x v="3"/>
    <x v="3"/>
    <x v="0"/>
    <x v="4"/>
    <n v="5"/>
    <n v="449"/>
    <x v="0"/>
    <x v="166"/>
    <n v="463.23200000000003"/>
    <n v="0.257924276169265"/>
    <x v="0"/>
  </r>
  <r>
    <n v="1957"/>
    <x v="172"/>
    <x v="2"/>
    <x v="1"/>
    <x v="0"/>
    <x v="2"/>
    <n v="5"/>
    <n v="368"/>
    <x v="2"/>
    <x v="167"/>
    <n v="282.7491"/>
    <n v="0.17074221014492799"/>
    <x v="0"/>
  </r>
  <r>
    <n v="1624"/>
    <x v="173"/>
    <x v="6"/>
    <x v="0"/>
    <x v="2"/>
    <x v="2"/>
    <n v="1"/>
    <n v="112"/>
    <x v="3"/>
    <x v="168"/>
    <n v="18.597000000000001"/>
    <n v="0.23720663265306099"/>
    <x v="0"/>
  </r>
  <r>
    <n v="1676"/>
    <x v="174"/>
    <x v="3"/>
    <x v="1"/>
    <x v="2"/>
    <x v="1"/>
    <n v="8"/>
    <n v="375"/>
    <x v="3"/>
    <x v="169"/>
    <n v="381.88479999999998"/>
    <n v="0.18184990476190499"/>
    <x v="0"/>
  </r>
  <r>
    <n v="1671"/>
    <x v="175"/>
    <x v="6"/>
    <x v="0"/>
    <x v="1"/>
    <x v="4"/>
    <n v="6"/>
    <n v="39"/>
    <x v="0"/>
    <x v="170"/>
    <n v="33.352200000000003"/>
    <n v="0.17816346153846199"/>
    <x v="0"/>
  </r>
  <r>
    <n v="1337"/>
    <x v="176"/>
    <x v="3"/>
    <x v="3"/>
    <x v="1"/>
    <x v="2"/>
    <n v="7"/>
    <n v="292"/>
    <x v="2"/>
    <x v="171"/>
    <n v="118.2195"/>
    <n v="6.4263698630137006E-2"/>
    <x v="0"/>
  </r>
  <r>
    <n v="1034"/>
    <x v="177"/>
    <x v="3"/>
    <x v="0"/>
    <x v="0"/>
    <x v="1"/>
    <n v="3"/>
    <n v="299"/>
    <x v="2"/>
    <x v="172"/>
    <n v="117.8321"/>
    <n v="0.14595825591477801"/>
    <x v="0"/>
  </r>
  <r>
    <n v="1744"/>
    <x v="178"/>
    <x v="3"/>
    <x v="3"/>
    <x v="2"/>
    <x v="0"/>
    <n v="5"/>
    <n v="416"/>
    <x v="3"/>
    <x v="173"/>
    <n v="315.92290000000003"/>
    <n v="0.21698001373626399"/>
    <x v="0"/>
  </r>
  <r>
    <n v="1387"/>
    <x v="179"/>
    <x v="5"/>
    <x v="1"/>
    <x v="2"/>
    <x v="4"/>
    <n v="2"/>
    <n v="91"/>
    <x v="1"/>
    <x v="174"/>
    <n v="10.292"/>
    <n v="5.6549450549450597E-2"/>
    <x v="0"/>
  </r>
  <r>
    <n v="1791"/>
    <x v="180"/>
    <x v="6"/>
    <x v="0"/>
    <x v="0"/>
    <x v="0"/>
    <n v="8"/>
    <n v="359"/>
    <x v="1"/>
    <x v="175"/>
    <n v="320.93079999999998"/>
    <n v="0.111744707520891"/>
    <x v="0"/>
  </r>
  <r>
    <n v="1095"/>
    <x v="181"/>
    <x v="0"/>
    <x v="2"/>
    <x v="2"/>
    <x v="1"/>
    <n v="9"/>
    <n v="379"/>
    <x v="1"/>
    <x v="176"/>
    <n v="828.8836"/>
    <n v="0.243003107593081"/>
    <x v="0"/>
  </r>
  <r>
    <n v="1986"/>
    <x v="182"/>
    <x v="4"/>
    <x v="1"/>
    <x v="2"/>
    <x v="2"/>
    <n v="4"/>
    <n v="180"/>
    <x v="0"/>
    <x v="177"/>
    <n v="94.795299999999997"/>
    <n v="0.16457517361111099"/>
    <x v="0"/>
  </r>
  <r>
    <n v="1191"/>
    <x v="183"/>
    <x v="5"/>
    <x v="0"/>
    <x v="1"/>
    <x v="2"/>
    <n v="7"/>
    <n v="454"/>
    <x v="3"/>
    <x v="178"/>
    <n v="293.053"/>
    <n v="0.131732895801492"/>
    <x v="0"/>
  </r>
  <r>
    <n v="1654"/>
    <x v="184"/>
    <x v="4"/>
    <x v="2"/>
    <x v="2"/>
    <x v="2"/>
    <n v="6"/>
    <n v="281"/>
    <x v="3"/>
    <x v="179"/>
    <n v="90.13"/>
    <n v="7.6368412133536706E-2"/>
    <x v="0"/>
  </r>
  <r>
    <n v="1724"/>
    <x v="185"/>
    <x v="6"/>
    <x v="0"/>
    <x v="2"/>
    <x v="0"/>
    <n v="6"/>
    <n v="241"/>
    <x v="1"/>
    <x v="180"/>
    <n v="309.78930000000003"/>
    <n v="0.214238796680498"/>
    <x v="1"/>
  </r>
  <r>
    <n v="1619"/>
    <x v="186"/>
    <x v="5"/>
    <x v="3"/>
    <x v="1"/>
    <x v="4"/>
    <n v="5"/>
    <n v="478"/>
    <x v="0"/>
    <x v="181"/>
    <n v="247.0121"/>
    <n v="0.129190428870293"/>
    <x v="0"/>
  </r>
  <r>
    <n v="1214"/>
    <x v="187"/>
    <x v="5"/>
    <x v="3"/>
    <x v="2"/>
    <x v="4"/>
    <n v="6"/>
    <n v="194"/>
    <x v="2"/>
    <x v="182"/>
    <n v="157.53139999999999"/>
    <n v="0.150373615883925"/>
    <x v="0"/>
  </r>
  <r>
    <n v="1099"/>
    <x v="188"/>
    <x v="2"/>
    <x v="0"/>
    <x v="2"/>
    <x v="0"/>
    <n v="5"/>
    <n v="246"/>
    <x v="2"/>
    <x v="183"/>
    <n v="225.82400000000001"/>
    <n v="0.20399638663053299"/>
    <x v="0"/>
  </r>
  <r>
    <n v="1170"/>
    <x v="189"/>
    <x v="0"/>
    <x v="0"/>
    <x v="0"/>
    <x v="1"/>
    <n v="7"/>
    <n v="92"/>
    <x v="3"/>
    <x v="184"/>
    <n v="96.559100000000001"/>
    <n v="0.21419498669032799"/>
    <x v="0"/>
  </r>
  <r>
    <n v="1461"/>
    <x v="190"/>
    <x v="1"/>
    <x v="2"/>
    <x v="1"/>
    <x v="2"/>
    <n v="9"/>
    <n v="406"/>
    <x v="1"/>
    <x v="185"/>
    <n v="881.99599999999998"/>
    <n v="0.24137821565407799"/>
    <x v="0"/>
  </r>
  <r>
    <n v="1014"/>
    <x v="191"/>
    <x v="3"/>
    <x v="2"/>
    <x v="1"/>
    <x v="3"/>
    <n v="1"/>
    <n v="405"/>
    <x v="2"/>
    <x v="186"/>
    <n v="21.288"/>
    <n v="5.8403292181070002E-2"/>
    <x v="0"/>
  </r>
  <r>
    <n v="1040"/>
    <x v="192"/>
    <x v="0"/>
    <x v="3"/>
    <x v="0"/>
    <x v="2"/>
    <n v="2"/>
    <n v="444"/>
    <x v="1"/>
    <x v="187"/>
    <n v="147.393"/>
    <n v="0.16598310810810801"/>
    <x v="0"/>
  </r>
  <r>
    <n v="1406"/>
    <x v="193"/>
    <x v="2"/>
    <x v="1"/>
    <x v="1"/>
    <x v="1"/>
    <n v="7"/>
    <n v="65"/>
    <x v="3"/>
    <x v="188"/>
    <n v="57.6"/>
    <n v="0.18084772370486701"/>
    <x v="0"/>
  </r>
  <r>
    <n v="1080"/>
    <x v="194"/>
    <x v="2"/>
    <x v="2"/>
    <x v="0"/>
    <x v="4"/>
    <n v="1"/>
    <n v="466"/>
    <x v="1"/>
    <x v="189"/>
    <n v="95.638199999999998"/>
    <n v="0.20523218884120201"/>
    <x v="0"/>
  </r>
  <r>
    <n v="1138"/>
    <x v="195"/>
    <x v="1"/>
    <x v="2"/>
    <x v="2"/>
    <x v="2"/>
    <n v="1"/>
    <n v="339"/>
    <x v="0"/>
    <x v="190"/>
    <n v="51.539400000000001"/>
    <n v="0.19004203539823"/>
    <x v="0"/>
  </r>
  <r>
    <n v="1795"/>
    <x v="196"/>
    <x v="2"/>
    <x v="1"/>
    <x v="0"/>
    <x v="2"/>
    <n v="9"/>
    <n v="402"/>
    <x v="1"/>
    <x v="191"/>
    <n v="810.34079999999994"/>
    <n v="0.22397479270315099"/>
    <x v="0"/>
  </r>
  <r>
    <n v="1508"/>
    <x v="197"/>
    <x v="3"/>
    <x v="0"/>
    <x v="2"/>
    <x v="4"/>
    <n v="8"/>
    <n v="182"/>
    <x v="0"/>
    <x v="192"/>
    <n v="92.6995"/>
    <n v="7.9584048763736301E-2"/>
    <x v="0"/>
  </r>
  <r>
    <n v="1435"/>
    <x v="198"/>
    <x v="4"/>
    <x v="1"/>
    <x v="1"/>
    <x v="0"/>
    <n v="1"/>
    <n v="413"/>
    <x v="2"/>
    <x v="193"/>
    <n v="99.738500000000002"/>
    <n v="0.26833064299165998"/>
    <x v="0"/>
  </r>
  <r>
    <n v="1427"/>
    <x v="6"/>
    <x v="1"/>
    <x v="1"/>
    <x v="2"/>
    <x v="3"/>
    <n v="9"/>
    <n v="464"/>
    <x v="3"/>
    <x v="6"/>
    <n v="720.31420000000003"/>
    <n v="0.24641290366721399"/>
    <x v="0"/>
  </r>
  <r>
    <n v="1161"/>
    <x v="199"/>
    <x v="4"/>
    <x v="1"/>
    <x v="0"/>
    <x v="1"/>
    <n v="1"/>
    <n v="218"/>
    <x v="3"/>
    <x v="194"/>
    <n v="38.250799999999998"/>
    <n v="0.25066055045871599"/>
    <x v="0"/>
  </r>
  <r>
    <n v="1727"/>
    <x v="200"/>
    <x v="4"/>
    <x v="3"/>
    <x v="1"/>
    <x v="2"/>
    <n v="5"/>
    <n v="482"/>
    <x v="2"/>
    <x v="195"/>
    <n v="574.86069999999995"/>
    <n v="0.26503490087597997"/>
    <x v="0"/>
  </r>
  <r>
    <n v="1952"/>
    <x v="201"/>
    <x v="5"/>
    <x v="2"/>
    <x v="2"/>
    <x v="2"/>
    <n v="8"/>
    <n v="130"/>
    <x v="0"/>
    <x v="196"/>
    <n v="152.47"/>
    <n v="0.183257211538462"/>
    <x v="0"/>
  </r>
  <r>
    <n v="1975"/>
    <x v="202"/>
    <x v="4"/>
    <x v="3"/>
    <x v="2"/>
    <x v="1"/>
    <n v="5"/>
    <n v="94"/>
    <x v="0"/>
    <x v="197"/>
    <n v="27.5411"/>
    <n v="7.3247606382978697E-2"/>
    <x v="0"/>
  </r>
  <r>
    <n v="1897"/>
    <x v="203"/>
    <x v="0"/>
    <x v="0"/>
    <x v="2"/>
    <x v="3"/>
    <n v="5"/>
    <n v="276"/>
    <x v="3"/>
    <x v="198"/>
    <n v="225.96260000000001"/>
    <n v="0.23391573498964799"/>
    <x v="0"/>
  </r>
  <r>
    <n v="1224"/>
    <x v="204"/>
    <x v="6"/>
    <x v="0"/>
    <x v="1"/>
    <x v="2"/>
    <n v="5"/>
    <n v="207"/>
    <x v="2"/>
    <x v="199"/>
    <n v="189.86250000000001"/>
    <n v="0.203824476650564"/>
    <x v="0"/>
  </r>
  <r>
    <n v="1782"/>
    <x v="205"/>
    <x v="4"/>
    <x v="3"/>
    <x v="1"/>
    <x v="4"/>
    <n v="4"/>
    <n v="391"/>
    <x v="1"/>
    <x v="200"/>
    <n v="308.18709999999999"/>
    <n v="0.19705057544756999"/>
    <x v="0"/>
  </r>
  <r>
    <n v="1475"/>
    <x v="206"/>
    <x v="2"/>
    <x v="1"/>
    <x v="0"/>
    <x v="1"/>
    <n v="1"/>
    <n v="304"/>
    <x v="3"/>
    <x v="201"/>
    <n v="29.552199999999999"/>
    <n v="0.138873120300752"/>
    <x v="0"/>
  </r>
  <r>
    <n v="1875"/>
    <x v="207"/>
    <x v="5"/>
    <x v="2"/>
    <x v="1"/>
    <x v="3"/>
    <n v="7"/>
    <n v="41"/>
    <x v="0"/>
    <x v="202"/>
    <n v="43.661900000000003"/>
    <n v="0.190165069686411"/>
    <x v="0"/>
  </r>
  <r>
    <n v="1128"/>
    <x v="208"/>
    <x v="1"/>
    <x v="3"/>
    <x v="0"/>
    <x v="3"/>
    <n v="7"/>
    <n v="91"/>
    <x v="1"/>
    <x v="203"/>
    <n v="175.14850000000001"/>
    <n v="0.27495839874411299"/>
    <x v="0"/>
  </r>
  <r>
    <n v="1373"/>
    <x v="209"/>
    <x v="6"/>
    <x v="2"/>
    <x v="1"/>
    <x v="4"/>
    <n v="1"/>
    <n v="326"/>
    <x v="1"/>
    <x v="204"/>
    <n v="60.374699999999997"/>
    <n v="0.185198466257669"/>
    <x v="0"/>
  </r>
  <r>
    <n v="1748"/>
    <x v="210"/>
    <x v="1"/>
    <x v="2"/>
    <x v="0"/>
    <x v="0"/>
    <n v="5"/>
    <n v="474"/>
    <x v="2"/>
    <x v="205"/>
    <n v="143.42189999999999"/>
    <n v="6.7239521800281296E-2"/>
    <x v="0"/>
  </r>
  <r>
    <n v="1064"/>
    <x v="138"/>
    <x v="3"/>
    <x v="0"/>
    <x v="0"/>
    <x v="4"/>
    <n v="3"/>
    <n v="91"/>
    <x v="1"/>
    <x v="137"/>
    <n v="75.514399999999995"/>
    <n v="0.27660952380952403"/>
    <x v="0"/>
  </r>
  <r>
    <n v="1504"/>
    <x v="211"/>
    <x v="2"/>
    <x v="1"/>
    <x v="2"/>
    <x v="3"/>
    <n v="2"/>
    <n v="356"/>
    <x v="1"/>
    <x v="206"/>
    <n v="83.628100000000003"/>
    <n v="0.117455196629213"/>
    <x v="0"/>
  </r>
  <r>
    <n v="1974"/>
    <x v="44"/>
    <x v="4"/>
    <x v="0"/>
    <x v="0"/>
    <x v="3"/>
    <n v="3"/>
    <n v="202"/>
    <x v="0"/>
    <x v="44"/>
    <n v="128.25110000000001"/>
    <n v="0.26454434818481798"/>
    <x v="0"/>
  </r>
  <r>
    <n v="1496"/>
    <x v="212"/>
    <x v="6"/>
    <x v="0"/>
    <x v="2"/>
    <x v="2"/>
    <n v="9"/>
    <n v="371"/>
    <x v="1"/>
    <x v="207"/>
    <n v="858.33109999999999"/>
    <n v="0.257062324049116"/>
    <x v="0"/>
  </r>
  <r>
    <n v="1972"/>
    <x v="213"/>
    <x v="4"/>
    <x v="0"/>
    <x v="1"/>
    <x v="1"/>
    <n v="6"/>
    <n v="31"/>
    <x v="0"/>
    <x v="208"/>
    <n v="44.048900000000003"/>
    <n v="0.29602755376344098"/>
    <x v="0"/>
  </r>
  <r>
    <n v="1052"/>
    <x v="214"/>
    <x v="6"/>
    <x v="1"/>
    <x v="1"/>
    <x v="0"/>
    <n v="2"/>
    <n v="239"/>
    <x v="1"/>
    <x v="209"/>
    <n v="57.273499999999999"/>
    <n v="0.11981903765690401"/>
    <x v="0"/>
  </r>
  <r>
    <n v="1502"/>
    <x v="215"/>
    <x v="2"/>
    <x v="2"/>
    <x v="0"/>
    <x v="0"/>
    <n v="5"/>
    <n v="433"/>
    <x v="1"/>
    <x v="210"/>
    <n v="385.64210000000003"/>
    <n v="0.178125681293303"/>
    <x v="0"/>
  </r>
  <r>
    <n v="1709"/>
    <x v="216"/>
    <x v="6"/>
    <x v="3"/>
    <x v="0"/>
    <x v="1"/>
    <n v="2"/>
    <n v="262"/>
    <x v="1"/>
    <x v="211"/>
    <n v="141.73249999999999"/>
    <n v="0.27048187022900799"/>
    <x v="0"/>
  </r>
  <r>
    <n v="1639"/>
    <x v="217"/>
    <x v="6"/>
    <x v="1"/>
    <x v="1"/>
    <x v="0"/>
    <n v="3"/>
    <n v="41"/>
    <x v="0"/>
    <x v="212"/>
    <n v="9.8895999999999997"/>
    <n v="0.10050406504065"/>
    <x v="0"/>
  </r>
  <r>
    <n v="1378"/>
    <x v="218"/>
    <x v="1"/>
    <x v="2"/>
    <x v="2"/>
    <x v="0"/>
    <n v="7"/>
    <n v="320"/>
    <x v="2"/>
    <x v="213"/>
    <n v="230.09119999999999"/>
    <n v="0.11413253968254"/>
    <x v="0"/>
  </r>
  <r>
    <n v="1546"/>
    <x v="219"/>
    <x v="1"/>
    <x v="2"/>
    <x v="0"/>
    <x v="1"/>
    <n v="2"/>
    <n v="221"/>
    <x v="1"/>
    <x v="214"/>
    <n v="75.658900000000003"/>
    <n v="0.17117398190045199"/>
    <x v="0"/>
  </r>
  <r>
    <n v="1241"/>
    <x v="220"/>
    <x v="3"/>
    <x v="1"/>
    <x v="0"/>
    <x v="2"/>
    <n v="1"/>
    <n v="166"/>
    <x v="1"/>
    <x v="215"/>
    <n v="26.311800000000002"/>
    <n v="0.15850481927710799"/>
    <x v="0"/>
  </r>
  <r>
    <n v="1232"/>
    <x v="221"/>
    <x v="4"/>
    <x v="3"/>
    <x v="2"/>
    <x v="2"/>
    <n v="4"/>
    <n v="421"/>
    <x v="1"/>
    <x v="216"/>
    <n v="430.10910000000001"/>
    <n v="0.25540920427553399"/>
    <x v="0"/>
  </r>
  <r>
    <n v="1860"/>
    <x v="222"/>
    <x v="0"/>
    <x v="0"/>
    <x v="2"/>
    <x v="0"/>
    <n v="2"/>
    <n v="393"/>
    <x v="1"/>
    <x v="217"/>
    <n v="164.3313"/>
    <n v="0.20907290076335899"/>
    <x v="0"/>
  </r>
  <r>
    <n v="1871"/>
    <x v="223"/>
    <x v="2"/>
    <x v="0"/>
    <x v="2"/>
    <x v="4"/>
    <n v="6"/>
    <n v="455"/>
    <x v="1"/>
    <x v="218"/>
    <n v="264.82690000000002"/>
    <n v="9.7006190476190496E-2"/>
    <x v="1"/>
  </r>
  <r>
    <n v="1252"/>
    <x v="224"/>
    <x v="2"/>
    <x v="1"/>
    <x v="0"/>
    <x v="3"/>
    <n v="2"/>
    <n v="304"/>
    <x v="1"/>
    <x v="219"/>
    <n v="140.15479999999999"/>
    <n v="0.23051776315789499"/>
    <x v="0"/>
  </r>
  <r>
    <n v="1700"/>
    <x v="151"/>
    <x v="2"/>
    <x v="1"/>
    <x v="2"/>
    <x v="4"/>
    <n v="8"/>
    <n v="139"/>
    <x v="2"/>
    <x v="148"/>
    <n v="52.3748"/>
    <n v="5.23329336530775E-2"/>
    <x v="0"/>
  </r>
  <r>
    <n v="1020"/>
    <x v="225"/>
    <x v="4"/>
    <x v="3"/>
    <x v="0"/>
    <x v="1"/>
    <n v="2"/>
    <n v="229"/>
    <x v="1"/>
    <x v="220"/>
    <n v="51.1447"/>
    <n v="0.111669650655022"/>
    <x v="0"/>
  </r>
  <r>
    <n v="1085"/>
    <x v="226"/>
    <x v="5"/>
    <x v="3"/>
    <x v="0"/>
    <x v="1"/>
    <n v="2"/>
    <n v="347"/>
    <x v="0"/>
    <x v="221"/>
    <n v="137.8082"/>
    <n v="0.24821361671469699"/>
    <x v="1"/>
  </r>
  <r>
    <n v="1317"/>
    <x v="227"/>
    <x v="1"/>
    <x v="2"/>
    <x v="2"/>
    <x v="2"/>
    <n v="8"/>
    <n v="257"/>
    <x v="3"/>
    <x v="222"/>
    <n v="273.36009999999999"/>
    <n v="0.189938924402446"/>
    <x v="0"/>
  </r>
  <r>
    <n v="1384"/>
    <x v="228"/>
    <x v="3"/>
    <x v="1"/>
    <x v="1"/>
    <x v="0"/>
    <n v="6"/>
    <n v="43"/>
    <x v="2"/>
    <x v="223"/>
    <n v="21.761900000000001"/>
    <n v="9.3720499569336799E-2"/>
    <x v="0"/>
  </r>
  <r>
    <n v="1189"/>
    <x v="229"/>
    <x v="0"/>
    <x v="0"/>
    <x v="0"/>
    <x v="1"/>
    <n v="9"/>
    <n v="316"/>
    <x v="3"/>
    <x v="224"/>
    <n v="318.68900000000002"/>
    <n v="0.16008087201125201"/>
    <x v="0"/>
  </r>
  <r>
    <n v="1960"/>
    <x v="230"/>
    <x v="4"/>
    <x v="3"/>
    <x v="2"/>
    <x v="2"/>
    <n v="5"/>
    <n v="443"/>
    <x v="1"/>
    <x v="225"/>
    <n v="202.54769999999999"/>
    <n v="9.1443656884875796E-2"/>
    <x v="1"/>
  </r>
  <r>
    <n v="1931"/>
    <x v="231"/>
    <x v="5"/>
    <x v="0"/>
    <x v="2"/>
    <x v="1"/>
    <n v="5"/>
    <n v="290"/>
    <x v="1"/>
    <x v="226"/>
    <n v="139.37260000000001"/>
    <n v="9.6119034482758603E-2"/>
    <x v="0"/>
  </r>
  <r>
    <n v="1270"/>
    <x v="232"/>
    <x v="1"/>
    <x v="3"/>
    <x v="2"/>
    <x v="3"/>
    <n v="2"/>
    <n v="335"/>
    <x v="2"/>
    <x v="227"/>
    <n v="96.005200000000002"/>
    <n v="0.15921260364842499"/>
    <x v="0"/>
  </r>
  <r>
    <n v="1233"/>
    <x v="233"/>
    <x v="3"/>
    <x v="2"/>
    <x v="1"/>
    <x v="4"/>
    <n v="1"/>
    <n v="240"/>
    <x v="3"/>
    <x v="228"/>
    <n v="11.735099999999999"/>
    <n v="6.98517857142857E-2"/>
    <x v="0"/>
  </r>
  <r>
    <n v="1027"/>
    <x v="234"/>
    <x v="0"/>
    <x v="1"/>
    <x v="1"/>
    <x v="2"/>
    <n v="4"/>
    <n v="26"/>
    <x v="1"/>
    <x v="229"/>
    <n v="25.8248"/>
    <n v="0.24831538461538499"/>
    <x v="0"/>
  </r>
  <r>
    <n v="1510"/>
    <x v="7"/>
    <x v="0"/>
    <x v="2"/>
    <x v="0"/>
    <x v="1"/>
    <n v="2"/>
    <n v="290"/>
    <x v="1"/>
    <x v="7"/>
    <n v="29.4666"/>
    <n v="5.0804482758620699E-2"/>
    <x v="1"/>
  </r>
  <r>
    <n v="1397"/>
    <x v="235"/>
    <x v="1"/>
    <x v="1"/>
    <x v="0"/>
    <x v="3"/>
    <n v="6"/>
    <n v="96"/>
    <x v="1"/>
    <x v="177"/>
    <n v="94.930499999999995"/>
    <n v="0.164809895833333"/>
    <x v="0"/>
  </r>
  <r>
    <n v="1566"/>
    <x v="236"/>
    <x v="2"/>
    <x v="3"/>
    <x v="1"/>
    <x v="2"/>
    <n v="8"/>
    <n v="478"/>
    <x v="2"/>
    <x v="230"/>
    <n v="691.32079999999996"/>
    <n v="0.20087192003719201"/>
    <x v="0"/>
  </r>
  <r>
    <n v="1484"/>
    <x v="237"/>
    <x v="1"/>
    <x v="3"/>
    <x v="0"/>
    <x v="4"/>
    <n v="8"/>
    <n v="470"/>
    <x v="3"/>
    <x v="231"/>
    <n v="436.86680000000001"/>
    <n v="0.16598282674772"/>
    <x v="0"/>
  </r>
  <r>
    <n v="1804"/>
    <x v="238"/>
    <x v="1"/>
    <x v="1"/>
    <x v="0"/>
    <x v="3"/>
    <n v="1"/>
    <n v="99"/>
    <x v="2"/>
    <x v="232"/>
    <n v="20.555700000000002"/>
    <n v="0.23070370370370399"/>
    <x v="0"/>
  </r>
  <r>
    <n v="1564"/>
    <x v="239"/>
    <x v="2"/>
    <x v="0"/>
    <x v="1"/>
    <x v="4"/>
    <n v="2"/>
    <n v="406"/>
    <x v="1"/>
    <x v="233"/>
    <n v="162.03970000000001"/>
    <n v="0.199556280788177"/>
    <x v="0"/>
  </r>
  <r>
    <n v="1130"/>
    <x v="12"/>
    <x v="5"/>
    <x v="2"/>
    <x v="0"/>
    <x v="0"/>
    <n v="7"/>
    <n v="401"/>
    <x v="2"/>
    <x v="12"/>
    <n v="647.39559999999994"/>
    <n v="0.256262359973083"/>
    <x v="0"/>
  </r>
  <r>
    <n v="1372"/>
    <x v="240"/>
    <x v="4"/>
    <x v="1"/>
    <x v="1"/>
    <x v="3"/>
    <n v="7"/>
    <n v="270"/>
    <x v="0"/>
    <x v="234"/>
    <n v="352.70089999999999"/>
    <n v="0.23326779100529099"/>
    <x v="0"/>
  </r>
  <r>
    <n v="1156"/>
    <x v="241"/>
    <x v="6"/>
    <x v="1"/>
    <x v="1"/>
    <x v="0"/>
    <n v="7"/>
    <n v="136"/>
    <x v="2"/>
    <x v="235"/>
    <n v="147.27770000000001"/>
    <n v="0.171892740429505"/>
    <x v="0"/>
  </r>
  <r>
    <n v="1276"/>
    <x v="242"/>
    <x v="4"/>
    <x v="2"/>
    <x v="1"/>
    <x v="4"/>
    <n v="6"/>
    <n v="77"/>
    <x v="1"/>
    <x v="236"/>
    <n v="58.397300000000001"/>
    <n v="0.12640108225108199"/>
    <x v="0"/>
  </r>
  <r>
    <n v="1224"/>
    <x v="243"/>
    <x v="5"/>
    <x v="1"/>
    <x v="1"/>
    <x v="2"/>
    <n v="5"/>
    <n v="464"/>
    <x v="3"/>
    <x v="96"/>
    <n v="109.4743"/>
    <n v="6.7410283251231495E-2"/>
    <x v="0"/>
  </r>
  <r>
    <n v="1797"/>
    <x v="244"/>
    <x v="1"/>
    <x v="3"/>
    <x v="1"/>
    <x v="4"/>
    <n v="8"/>
    <n v="407"/>
    <x v="3"/>
    <x v="237"/>
    <n v="271.74020000000002"/>
    <n v="0.11922613197613199"/>
    <x v="0"/>
  </r>
  <r>
    <n v="1035"/>
    <x v="245"/>
    <x v="5"/>
    <x v="1"/>
    <x v="2"/>
    <x v="0"/>
    <n v="9"/>
    <n v="242"/>
    <x v="2"/>
    <x v="238"/>
    <n v="284.4348"/>
    <n v="0.14510498928680701"/>
    <x v="0"/>
  </r>
  <r>
    <n v="1385"/>
    <x v="246"/>
    <x v="5"/>
    <x v="1"/>
    <x v="2"/>
    <x v="0"/>
    <n v="4"/>
    <n v="221"/>
    <x v="3"/>
    <x v="239"/>
    <n v="68.048500000000004"/>
    <n v="0.109968487394958"/>
    <x v="0"/>
  </r>
  <r>
    <n v="1230"/>
    <x v="247"/>
    <x v="0"/>
    <x v="2"/>
    <x v="0"/>
    <x v="0"/>
    <n v="8"/>
    <n v="146"/>
    <x v="2"/>
    <x v="240"/>
    <n v="92.533000000000001"/>
    <n v="8.8026065449010593E-2"/>
    <x v="0"/>
  </r>
  <r>
    <n v="1555"/>
    <x v="248"/>
    <x v="1"/>
    <x v="3"/>
    <x v="1"/>
    <x v="3"/>
    <n v="2"/>
    <n v="103"/>
    <x v="2"/>
    <x v="241"/>
    <n v="49.000300000000003"/>
    <n v="0.264295037756203"/>
    <x v="0"/>
  </r>
  <r>
    <n v="1818"/>
    <x v="249"/>
    <x v="4"/>
    <x v="1"/>
    <x v="0"/>
    <x v="4"/>
    <n v="8"/>
    <n v="411"/>
    <x v="1"/>
    <x v="242"/>
    <n v="896.19209999999998"/>
    <n v="0.27256450729927001"/>
    <x v="0"/>
  </r>
  <r>
    <n v="1674"/>
    <x v="250"/>
    <x v="6"/>
    <x v="3"/>
    <x v="2"/>
    <x v="0"/>
    <n v="2"/>
    <n v="185"/>
    <x v="2"/>
    <x v="243"/>
    <n v="38.308100000000003"/>
    <n v="0.11503933933933901"/>
    <x v="1"/>
  </r>
  <r>
    <n v="1058"/>
    <x v="251"/>
    <x v="3"/>
    <x v="3"/>
    <x v="2"/>
    <x v="0"/>
    <n v="5"/>
    <n v="58"/>
    <x v="0"/>
    <x v="244"/>
    <n v="51.945900000000002"/>
    <n v="0.22390474137930999"/>
    <x v="0"/>
  </r>
  <r>
    <n v="1385"/>
    <x v="252"/>
    <x v="3"/>
    <x v="2"/>
    <x v="0"/>
    <x v="0"/>
    <n v="6"/>
    <n v="435"/>
    <x v="2"/>
    <x v="245"/>
    <n v="333.52319999999997"/>
    <n v="0.14198518518518499"/>
    <x v="0"/>
  </r>
  <r>
    <n v="1806"/>
    <x v="253"/>
    <x v="4"/>
    <x v="1"/>
    <x v="1"/>
    <x v="2"/>
    <n v="2"/>
    <n v="431"/>
    <x v="1"/>
    <x v="246"/>
    <n v="64.787400000000005"/>
    <n v="7.5159396751740104E-2"/>
    <x v="0"/>
  </r>
  <r>
    <n v="1471"/>
    <x v="254"/>
    <x v="1"/>
    <x v="0"/>
    <x v="0"/>
    <x v="0"/>
    <n v="7"/>
    <n v="293"/>
    <x v="1"/>
    <x v="247"/>
    <n v="442.90820000000002"/>
    <n v="0.215947440273038"/>
    <x v="0"/>
  </r>
  <r>
    <n v="1524"/>
    <x v="255"/>
    <x v="4"/>
    <x v="1"/>
    <x v="1"/>
    <x v="1"/>
    <n v="3"/>
    <n v="435"/>
    <x v="3"/>
    <x v="248"/>
    <n v="222.80539999999999"/>
    <n v="0.243903010399562"/>
    <x v="0"/>
  </r>
  <r>
    <n v="1661"/>
    <x v="256"/>
    <x v="1"/>
    <x v="0"/>
    <x v="2"/>
    <x v="0"/>
    <n v="4"/>
    <n v="26"/>
    <x v="1"/>
    <x v="229"/>
    <n v="19.6099"/>
    <n v="0.18855673076923099"/>
    <x v="0"/>
  </r>
  <r>
    <n v="1899"/>
    <x v="257"/>
    <x v="2"/>
    <x v="0"/>
    <x v="0"/>
    <x v="1"/>
    <n v="1"/>
    <n v="478"/>
    <x v="2"/>
    <x v="249"/>
    <n v="24.431899999999999"/>
    <n v="5.6791957229195701E-2"/>
    <x v="1"/>
  </r>
  <r>
    <n v="1105"/>
    <x v="258"/>
    <x v="2"/>
    <x v="1"/>
    <x v="1"/>
    <x v="3"/>
    <n v="1"/>
    <n v="164"/>
    <x v="1"/>
    <x v="250"/>
    <n v="29.441199999999998"/>
    <n v="0.17951951219512199"/>
    <x v="0"/>
  </r>
  <r>
    <n v="1466"/>
    <x v="259"/>
    <x v="0"/>
    <x v="0"/>
    <x v="0"/>
    <x v="3"/>
    <n v="9"/>
    <n v="211"/>
    <x v="2"/>
    <x v="251"/>
    <n v="127.8313"/>
    <n v="7.4794511731320595E-2"/>
    <x v="0"/>
  </r>
  <r>
    <n v="1343"/>
    <x v="260"/>
    <x v="0"/>
    <x v="1"/>
    <x v="0"/>
    <x v="1"/>
    <n v="2"/>
    <n v="52"/>
    <x v="1"/>
    <x v="229"/>
    <n v="6.1181000000000001"/>
    <n v="5.8827884615384601E-2"/>
    <x v="0"/>
  </r>
  <r>
    <n v="1555"/>
    <x v="261"/>
    <x v="0"/>
    <x v="1"/>
    <x v="1"/>
    <x v="2"/>
    <n v="5"/>
    <n v="69"/>
    <x v="2"/>
    <x v="252"/>
    <n v="29.9711"/>
    <n v="9.6525281803542695E-2"/>
    <x v="0"/>
  </r>
  <r>
    <n v="1330"/>
    <x v="262"/>
    <x v="1"/>
    <x v="1"/>
    <x v="2"/>
    <x v="2"/>
    <n v="6"/>
    <n v="304"/>
    <x v="3"/>
    <x v="253"/>
    <n v="319.22269999999997"/>
    <n v="0.250017778822055"/>
    <x v="0"/>
  </r>
  <r>
    <n v="1472"/>
    <x v="263"/>
    <x v="0"/>
    <x v="2"/>
    <x v="0"/>
    <x v="4"/>
    <n v="9"/>
    <n v="22"/>
    <x v="0"/>
    <x v="254"/>
    <n v="33.83"/>
    <n v="0.213573232323232"/>
    <x v="1"/>
  </r>
  <r>
    <n v="1838"/>
    <x v="264"/>
    <x v="1"/>
    <x v="0"/>
    <x v="1"/>
    <x v="0"/>
    <n v="1"/>
    <n v="389"/>
    <x v="0"/>
    <x v="255"/>
    <n v="31.413"/>
    <n v="0.100941516709512"/>
    <x v="0"/>
  </r>
  <r>
    <n v="1769"/>
    <x v="265"/>
    <x v="3"/>
    <x v="0"/>
    <x v="2"/>
    <x v="0"/>
    <n v="6"/>
    <n v="414"/>
    <x v="1"/>
    <x v="256"/>
    <n v="596.77530000000002"/>
    <n v="0.24024770531400999"/>
    <x v="0"/>
  </r>
  <r>
    <n v="1612"/>
    <x v="266"/>
    <x v="4"/>
    <x v="2"/>
    <x v="1"/>
    <x v="3"/>
    <n v="1"/>
    <n v="261"/>
    <x v="1"/>
    <x v="257"/>
    <n v="68.510900000000007"/>
    <n v="0.262493869731801"/>
    <x v="0"/>
  </r>
  <r>
    <n v="1878"/>
    <x v="267"/>
    <x v="3"/>
    <x v="3"/>
    <x v="1"/>
    <x v="2"/>
    <n v="9"/>
    <n v="401"/>
    <x v="3"/>
    <x v="12"/>
    <n v="304.53730000000002"/>
    <n v="0.12054676800063301"/>
    <x v="0"/>
  </r>
  <r>
    <n v="1795"/>
    <x v="136"/>
    <x v="4"/>
    <x v="1"/>
    <x v="0"/>
    <x v="1"/>
    <n v="1"/>
    <n v="197"/>
    <x v="1"/>
    <x v="135"/>
    <n v="38.296500000000002"/>
    <n v="0.19439847715736"/>
    <x v="0"/>
  </r>
  <r>
    <n v="1577"/>
    <x v="268"/>
    <x v="1"/>
    <x v="1"/>
    <x v="0"/>
    <x v="2"/>
    <n v="8"/>
    <n v="367"/>
    <x v="3"/>
    <x v="258"/>
    <n v="428.80840000000001"/>
    <n v="0.208645581938498"/>
    <x v="1"/>
  </r>
  <r>
    <n v="1794"/>
    <x v="269"/>
    <x v="6"/>
    <x v="2"/>
    <x v="2"/>
    <x v="3"/>
    <n v="8"/>
    <n v="173"/>
    <x v="0"/>
    <x v="259"/>
    <n v="273.0018"/>
    <n v="0.246569544797688"/>
    <x v="0"/>
  </r>
  <r>
    <n v="1768"/>
    <x v="270"/>
    <x v="5"/>
    <x v="0"/>
    <x v="0"/>
    <x v="3"/>
    <n v="9"/>
    <n v="308"/>
    <x v="0"/>
    <x v="260"/>
    <n v="471.77969999999999"/>
    <n v="0.212743371212121"/>
    <x v="0"/>
  </r>
  <r>
    <n v="1831"/>
    <x v="271"/>
    <x v="0"/>
    <x v="1"/>
    <x v="2"/>
    <x v="1"/>
    <n v="6"/>
    <n v="214"/>
    <x v="2"/>
    <x v="261"/>
    <n v="290.34129999999999"/>
    <n v="0.25124723087573603"/>
    <x v="0"/>
  </r>
  <r>
    <n v="1726"/>
    <x v="272"/>
    <x v="1"/>
    <x v="1"/>
    <x v="1"/>
    <x v="4"/>
    <n v="7"/>
    <n v="423"/>
    <x v="0"/>
    <x v="262"/>
    <n v="212.5454"/>
    <n v="8.9727034785545404E-2"/>
    <x v="0"/>
  </r>
  <r>
    <n v="1240"/>
    <x v="273"/>
    <x v="0"/>
    <x v="1"/>
    <x v="2"/>
    <x v="0"/>
    <n v="2"/>
    <n v="447"/>
    <x v="3"/>
    <x v="263"/>
    <n v="101.88639999999999"/>
    <n v="0.16280984340044699"/>
    <x v="0"/>
  </r>
  <r>
    <n v="1461"/>
    <x v="274"/>
    <x v="5"/>
    <x v="1"/>
    <x v="2"/>
    <x v="1"/>
    <n v="9"/>
    <n v="21"/>
    <x v="2"/>
    <x v="264"/>
    <n v="28.164100000000001"/>
    <n v="0.16557378012933599"/>
    <x v="0"/>
  </r>
  <r>
    <n v="1942"/>
    <x v="275"/>
    <x v="2"/>
    <x v="1"/>
    <x v="2"/>
    <x v="1"/>
    <n v="7"/>
    <n v="300"/>
    <x v="3"/>
    <x v="265"/>
    <n v="382.12729999999999"/>
    <n v="0.25995054421768699"/>
    <x v="0"/>
  </r>
  <r>
    <n v="1062"/>
    <x v="276"/>
    <x v="6"/>
    <x v="1"/>
    <x v="1"/>
    <x v="3"/>
    <n v="8"/>
    <n v="497"/>
    <x v="1"/>
    <x v="266"/>
    <n v="1156.4141"/>
    <n v="0.29084861670020101"/>
    <x v="0"/>
  </r>
  <r>
    <n v="1729"/>
    <x v="277"/>
    <x v="6"/>
    <x v="3"/>
    <x v="1"/>
    <x v="0"/>
    <n v="8"/>
    <n v="193"/>
    <x v="3"/>
    <x v="267"/>
    <n v="281.53039999999999"/>
    <n v="0.26048334566987402"/>
    <x v="0"/>
  </r>
  <r>
    <n v="1502"/>
    <x v="278"/>
    <x v="5"/>
    <x v="1"/>
    <x v="1"/>
    <x v="4"/>
    <n v="9"/>
    <n v="396"/>
    <x v="1"/>
    <x v="268"/>
    <n v="678.24950000000001"/>
    <n v="0.19030569584736201"/>
    <x v="0"/>
  </r>
  <r>
    <n v="1343"/>
    <x v="279"/>
    <x v="0"/>
    <x v="3"/>
    <x v="1"/>
    <x v="3"/>
    <n v="8"/>
    <n v="228"/>
    <x v="0"/>
    <x v="269"/>
    <n v="199.67080000000001"/>
    <n v="0.136835800438596"/>
    <x v="1"/>
  </r>
  <r>
    <n v="1418"/>
    <x v="280"/>
    <x v="6"/>
    <x v="1"/>
    <x v="0"/>
    <x v="4"/>
    <n v="1"/>
    <n v="51"/>
    <x v="3"/>
    <x v="270"/>
    <n v="8.3076000000000008"/>
    <n v="0.23270588235294101"/>
    <x v="0"/>
  </r>
  <r>
    <n v="1862"/>
    <x v="281"/>
    <x v="3"/>
    <x v="1"/>
    <x v="0"/>
    <x v="1"/>
    <n v="8"/>
    <n v="200"/>
    <x v="2"/>
    <x v="271"/>
    <n v="334.0582"/>
    <n v="0.231984861111111"/>
    <x v="0"/>
  </r>
  <r>
    <n v="1273"/>
    <x v="282"/>
    <x v="4"/>
    <x v="3"/>
    <x v="0"/>
    <x v="1"/>
    <n v="4"/>
    <n v="483"/>
    <x v="3"/>
    <x v="272"/>
    <n v="334.25069999999999"/>
    <n v="0.24715372670807401"/>
    <x v="1"/>
  </r>
  <r>
    <n v="1052"/>
    <x v="283"/>
    <x v="5"/>
    <x v="2"/>
    <x v="1"/>
    <x v="2"/>
    <n v="3"/>
    <n v="255"/>
    <x v="2"/>
    <x v="273"/>
    <n v="79.471100000000007"/>
    <n v="0.115426434277415"/>
    <x v="0"/>
  </r>
  <r>
    <n v="1647"/>
    <x v="284"/>
    <x v="6"/>
    <x v="1"/>
    <x v="1"/>
    <x v="4"/>
    <n v="7"/>
    <n v="296"/>
    <x v="3"/>
    <x v="274"/>
    <n v="80.433199999999999"/>
    <n v="5.5455874241588501E-2"/>
    <x v="0"/>
  </r>
  <r>
    <n v="1200"/>
    <x v="285"/>
    <x v="4"/>
    <x v="3"/>
    <x v="1"/>
    <x v="0"/>
    <n v="4"/>
    <n v="233"/>
    <x v="1"/>
    <x v="275"/>
    <n v="128.035"/>
    <n v="0.13737660944206001"/>
    <x v="0"/>
  </r>
  <r>
    <n v="1839"/>
    <x v="286"/>
    <x v="6"/>
    <x v="3"/>
    <x v="1"/>
    <x v="3"/>
    <n v="1"/>
    <n v="198"/>
    <x v="1"/>
    <x v="112"/>
    <n v="15.547700000000001"/>
    <n v="7.8523737373737398E-2"/>
    <x v="0"/>
  </r>
  <r>
    <n v="1607"/>
    <x v="287"/>
    <x v="6"/>
    <x v="1"/>
    <x v="0"/>
    <x v="0"/>
    <n v="9"/>
    <n v="101"/>
    <x v="1"/>
    <x v="276"/>
    <n v="116.8861"/>
    <n v="0.12858756875687599"/>
    <x v="0"/>
  </r>
  <r>
    <n v="1561"/>
    <x v="288"/>
    <x v="1"/>
    <x v="0"/>
    <x v="2"/>
    <x v="3"/>
    <n v="3"/>
    <n v="227"/>
    <x v="3"/>
    <x v="277"/>
    <n v="67.004400000000004"/>
    <n v="0.140558842039018"/>
    <x v="0"/>
  </r>
  <r>
    <n v="1540"/>
    <x v="289"/>
    <x v="5"/>
    <x v="0"/>
    <x v="2"/>
    <x v="1"/>
    <n v="1"/>
    <n v="378"/>
    <x v="0"/>
    <x v="121"/>
    <n v="77.271000000000001"/>
    <n v="0.25552579365079398"/>
    <x v="1"/>
  </r>
  <r>
    <n v="1402"/>
    <x v="290"/>
    <x v="6"/>
    <x v="0"/>
    <x v="2"/>
    <x v="4"/>
    <n v="4"/>
    <n v="423"/>
    <x v="1"/>
    <x v="278"/>
    <n v="446.57690000000002"/>
    <n v="0.26393433806146599"/>
    <x v="0"/>
  </r>
  <r>
    <n v="1698"/>
    <x v="291"/>
    <x v="3"/>
    <x v="2"/>
    <x v="1"/>
    <x v="0"/>
    <n v="3"/>
    <n v="223"/>
    <x v="1"/>
    <x v="279"/>
    <n v="120.9769"/>
    <n v="0.18083243647234701"/>
    <x v="0"/>
  </r>
  <r>
    <n v="1821"/>
    <x v="166"/>
    <x v="2"/>
    <x v="1"/>
    <x v="0"/>
    <x v="2"/>
    <n v="7"/>
    <n v="328"/>
    <x v="1"/>
    <x v="79"/>
    <n v="654.74990000000003"/>
    <n v="0.28516981707317102"/>
    <x v="0"/>
  </r>
  <r>
    <n v="1509"/>
    <x v="292"/>
    <x v="2"/>
    <x v="3"/>
    <x v="1"/>
    <x v="0"/>
    <n v="7"/>
    <n v="150"/>
    <x v="0"/>
    <x v="280"/>
    <n v="215.4554"/>
    <n v="0.25649452380952398"/>
    <x v="0"/>
  </r>
  <r>
    <n v="1027"/>
    <x v="293"/>
    <x v="2"/>
    <x v="0"/>
    <x v="2"/>
    <x v="3"/>
    <n v="3"/>
    <n v="411"/>
    <x v="1"/>
    <x v="281"/>
    <n v="361.2706"/>
    <n v="0.29300129764801303"/>
    <x v="0"/>
  </r>
  <r>
    <n v="1282"/>
    <x v="294"/>
    <x v="1"/>
    <x v="0"/>
    <x v="2"/>
    <x v="3"/>
    <n v="6"/>
    <n v="478"/>
    <x v="1"/>
    <x v="282"/>
    <n v="719.58370000000002"/>
    <n v="0.25090087168758701"/>
    <x v="0"/>
  </r>
  <r>
    <n v="1454"/>
    <x v="295"/>
    <x v="0"/>
    <x v="2"/>
    <x v="1"/>
    <x v="1"/>
    <n v="1"/>
    <n v="181"/>
    <x v="3"/>
    <x v="283"/>
    <n v="26.485900000000001"/>
    <n v="0.20904419889502801"/>
    <x v="0"/>
  </r>
  <r>
    <n v="1957"/>
    <x v="296"/>
    <x v="5"/>
    <x v="3"/>
    <x v="0"/>
    <x v="1"/>
    <n v="5"/>
    <n v="149"/>
    <x v="1"/>
    <x v="284"/>
    <n v="156.88310000000001"/>
    <n v="0.210581342281879"/>
    <x v="1"/>
  </r>
  <r>
    <n v="1406"/>
    <x v="297"/>
    <x v="0"/>
    <x v="0"/>
    <x v="1"/>
    <x v="3"/>
    <n v="6"/>
    <n v="142"/>
    <x v="1"/>
    <x v="285"/>
    <n v="236.26390000000001"/>
    <n v="0.277305046948357"/>
    <x v="0"/>
  </r>
  <r>
    <n v="1339"/>
    <x v="298"/>
    <x v="3"/>
    <x v="1"/>
    <x v="2"/>
    <x v="0"/>
    <n v="9"/>
    <n v="77"/>
    <x v="1"/>
    <x v="286"/>
    <n v="207.61369999999999"/>
    <n v="0.29958686868686901"/>
    <x v="1"/>
  </r>
  <r>
    <n v="1379"/>
    <x v="299"/>
    <x v="2"/>
    <x v="2"/>
    <x v="0"/>
    <x v="4"/>
    <n v="7"/>
    <n v="463"/>
    <x v="1"/>
    <x v="287"/>
    <n v="526.45169999999996"/>
    <n v="0.162434958346189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D0BED6-672F-4581-9C3B-0BF109195E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8:B73"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axis="axisRow" showAll="0">
      <items count="5">
        <item x="1"/>
        <item x="2"/>
        <item x="0"/>
        <item x="3"/>
        <item t="default"/>
      </items>
    </pivotField>
    <pivotField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Average of Profit" fld="10" subtotal="average" baseField="0" baseItem="0"/>
  </dataFields>
  <formats count="8">
    <format dxfId="18">
      <pivotArea dataOnly="0" labelOnly="1" fieldPosition="0">
        <references count="1">
          <reference field="8" count="1">
            <x v="0"/>
          </reference>
        </references>
      </pivotArea>
    </format>
    <format dxfId="17">
      <pivotArea field="8" type="button" dataOnly="0" labelOnly="1" outline="0" axis="axisRow" fieldPosition="0"/>
    </format>
    <format dxfId="16">
      <pivotArea dataOnly="0" fieldPosition="0">
        <references count="1">
          <reference field="8" count="1">
            <x v="1"/>
          </reference>
        </references>
      </pivotArea>
    </format>
    <format dxfId="15">
      <pivotArea dataOnly="0" labelOnly="1" fieldPosition="0">
        <references count="1">
          <reference field="8" count="1">
            <x v="2"/>
          </reference>
        </references>
      </pivotArea>
    </format>
    <format dxfId="14">
      <pivotArea dataOnly="0" labelOnly="1" fieldPosition="0">
        <references count="1">
          <reference field="8" count="1">
            <x v="3"/>
          </reference>
        </references>
      </pivotArea>
    </format>
    <format dxfId="13">
      <pivotArea grandRow="1" outline="0" collapsedLevelsAreSubtotals="1" fieldPosition="0"/>
    </format>
    <format dxfId="12">
      <pivotArea dataOnly="0" labelOnly="1" outline="0" axis="axisValues" fieldPosition="0"/>
    </format>
    <format dxfId="11">
      <pivotArea collapsedLevelsAreSubtotals="1" fieldPosition="0">
        <references count="1">
          <reference field="8" count="0"/>
        </references>
      </pivotArea>
    </format>
  </format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BFBFAB-1C4E-4E89-BE6F-C5582B460D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8:C56" firstHeaderRow="0"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axis="axisRow" showAll="0">
      <items count="8">
        <item x="2"/>
        <item x="5"/>
        <item x="3"/>
        <item x="0"/>
        <item x="6"/>
        <item x="1"/>
        <item x="4"/>
        <item t="default"/>
      </items>
    </pivotField>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Profit" fld="10" baseField="0" baseItem="0"/>
    <dataField name="Sum of Sales" fld="9" baseField="0" baseItem="0"/>
  </dataFields>
  <formats count="3">
    <format dxfId="21">
      <pivotArea grandRow="1" outline="0" collapsedLevelsAreSubtotals="1" fieldPosition="0"/>
    </format>
    <format dxfId="20">
      <pivotArea collapsedLevelsAreSubtotals="1" fieldPosition="0">
        <references count="2">
          <reference field="4294967294" count="1" selected="0">
            <x v="0"/>
          </reference>
          <reference field="2" count="0"/>
        </references>
      </pivotArea>
    </format>
    <format dxfId="19">
      <pivotArea collapsedLevelsAreSubtotals="1" fieldPosition="0">
        <references count="2">
          <reference field="4294967294" count="1" selected="0">
            <x v="1"/>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0C2E0B-7443-45C5-9079-13038D09572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3:B159"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pivotField axis="axisRow" showAll="0">
      <items count="4">
        <item x="2"/>
        <item x="0"/>
        <item x="1"/>
        <item t="default"/>
      </items>
    </pivotField>
    <pivotField axis="axisRow" showAll="0">
      <items count="6">
        <item x="2"/>
        <item x="4"/>
        <item x="1"/>
        <item x="0"/>
        <item x="3"/>
        <item t="default"/>
      </items>
    </pivotField>
    <pivotField showAll="0"/>
    <pivotField numFmtId="165" showAll="0"/>
    <pivotField numFmtId="9" showAll="0"/>
    <pivotField numFmtId="165" showAll="0"/>
    <pivotField numFmtId="165" showAll="0"/>
    <pivotField numFmtId="9" showAll="0"/>
    <pivotField dataField="1" showAll="0">
      <items count="3">
        <item h="1"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4"/>
    <field x="5"/>
  </rowFields>
  <rowItems count="16">
    <i>
      <x/>
    </i>
    <i r="1">
      <x/>
    </i>
    <i r="1">
      <x v="1"/>
    </i>
    <i r="1">
      <x v="2"/>
    </i>
    <i r="1">
      <x v="3"/>
    </i>
    <i r="1">
      <x v="4"/>
    </i>
    <i>
      <x v="1"/>
    </i>
    <i r="1">
      <x/>
    </i>
    <i r="1">
      <x v="1"/>
    </i>
    <i r="1">
      <x v="2"/>
    </i>
    <i r="1">
      <x v="3"/>
    </i>
    <i>
      <x v="2"/>
    </i>
    <i r="1">
      <x/>
    </i>
    <i r="1">
      <x v="1"/>
    </i>
    <i r="1">
      <x v="4"/>
    </i>
    <i t="grand">
      <x/>
    </i>
  </rowItems>
  <colItems count="1">
    <i/>
  </colItems>
  <dataFields count="1">
    <dataField name="Count of Returned" fld="12" subtotal="count" baseField="0" baseItem="0"/>
  </dataFields>
  <chartFormats count="16">
    <chartFormat chart="0" format="25" series="1">
      <pivotArea type="data" outline="0" fieldPosition="0">
        <references count="1">
          <reference field="5" count="1" selected="0">
            <x v="0"/>
          </reference>
        </references>
      </pivotArea>
    </chartFormat>
    <chartFormat chart="0" format="26" series="1">
      <pivotArea type="data" outline="0" fieldPosition="0">
        <references count="1">
          <reference field="5" count="1" selected="0">
            <x v="1"/>
          </reference>
        </references>
      </pivotArea>
    </chartFormat>
    <chartFormat chart="0" format="27" series="1">
      <pivotArea type="data" outline="0" fieldPosition="0">
        <references count="1">
          <reference field="5" count="1" selected="0">
            <x v="2"/>
          </reference>
        </references>
      </pivotArea>
    </chartFormat>
    <chartFormat chart="0" format="28" series="1">
      <pivotArea type="data" outline="0" fieldPosition="0">
        <references count="1">
          <reference field="5" count="1" selected="0">
            <x v="3"/>
          </reference>
        </references>
      </pivotArea>
    </chartFormat>
    <chartFormat chart="0" format="29" series="1">
      <pivotArea type="data" outline="0" fieldPosition="0">
        <references count="1">
          <reference field="5" count="1" selected="0">
            <x v="4"/>
          </reference>
        </references>
      </pivotArea>
    </chartFormat>
    <chartFormat chart="0" format="30" series="1">
      <pivotArea type="data" outline="0" fieldPosition="0">
        <references count="2">
          <reference field="4" count="1" selected="0">
            <x v="2"/>
          </reference>
          <reference field="5" count="1" selected="0">
            <x v="1"/>
          </reference>
        </references>
      </pivotArea>
    </chartFormat>
    <chartFormat chart="0" format="31" series="1">
      <pivotArea type="data" outline="0" fieldPosition="0">
        <references count="2">
          <reference field="4" count="1" selected="0">
            <x v="0"/>
          </reference>
          <reference field="5" count="1" selected="0">
            <x v="2"/>
          </reference>
        </references>
      </pivotArea>
    </chartFormat>
    <chartFormat chart="0" format="32" series="1">
      <pivotArea type="data" outline="0" fieldPosition="0">
        <references count="2">
          <reference field="4" count="1" selected="0">
            <x v="1"/>
          </reference>
          <reference field="5" count="1" selected="0">
            <x v="2"/>
          </reference>
        </references>
      </pivotArea>
    </chartFormat>
    <chartFormat chart="0" format="33" series="1">
      <pivotArea type="data" outline="0" fieldPosition="0">
        <references count="2">
          <reference field="4" count="1" selected="0">
            <x v="2"/>
          </reference>
          <reference field="5" count="1" selected="0">
            <x v="2"/>
          </reference>
        </references>
      </pivotArea>
    </chartFormat>
    <chartFormat chart="0" format="34" series="1">
      <pivotArea type="data" outline="0" fieldPosition="0">
        <references count="2">
          <reference field="4" count="1" selected="0">
            <x v="0"/>
          </reference>
          <reference field="5" count="1" selected="0">
            <x v="3"/>
          </reference>
        </references>
      </pivotArea>
    </chartFormat>
    <chartFormat chart="0" format="35" series="1">
      <pivotArea type="data" outline="0" fieldPosition="0">
        <references count="2">
          <reference field="4" count="1" selected="0">
            <x v="1"/>
          </reference>
          <reference field="5" count="1" selected="0">
            <x v="3"/>
          </reference>
        </references>
      </pivotArea>
    </chartFormat>
    <chartFormat chart="0" format="36" series="1">
      <pivotArea type="data" outline="0" fieldPosition="0">
        <references count="2">
          <reference field="4" count="1" selected="0">
            <x v="2"/>
          </reference>
          <reference field="5" count="1" selected="0">
            <x v="3"/>
          </reference>
        </references>
      </pivotArea>
    </chartFormat>
    <chartFormat chart="0" format="37" series="1">
      <pivotArea type="data" outline="0" fieldPosition="0">
        <references count="2">
          <reference field="4" count="1" selected="0">
            <x v="0"/>
          </reference>
          <reference field="5" count="1" selected="0">
            <x v="4"/>
          </reference>
        </references>
      </pivotArea>
    </chartFormat>
    <chartFormat chart="0" format="38" series="1">
      <pivotArea type="data" outline="0" fieldPosition="0">
        <references count="2">
          <reference field="4" count="1" selected="0">
            <x v="1"/>
          </reference>
          <reference field="5" count="1" selected="0">
            <x v="4"/>
          </reference>
        </references>
      </pivotArea>
    </chartFormat>
    <chartFormat chart="0" format="39" series="1">
      <pivotArea type="data" outline="0" fieldPosition="0">
        <references count="2">
          <reference field="4" count="1" selected="0">
            <x v="2"/>
          </reference>
          <reference field="5" count="1" selected="0">
            <x v="4"/>
          </reference>
        </references>
      </pivotArea>
    </chartFormat>
    <chartFormat chart="0" format="4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7EA23F-BA5B-4A12-A061-49F17B40FE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3:C42" firstHeaderRow="0"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axis="axisRow" showAll="0">
      <items count="4">
        <item x="2"/>
        <item x="0"/>
        <item x="1"/>
        <item t="default"/>
      </items>
    </pivotField>
    <pivotField axis="axisRow" showAll="0">
      <items count="6">
        <item x="2"/>
        <item x="4"/>
        <item x="1"/>
        <item x="0"/>
        <item x="3"/>
        <item t="default"/>
      </items>
    </pivotField>
    <pivotField showAll="0"/>
    <pivotField showAll="0"/>
    <pivotField showAll="0"/>
    <pivotField dataField="1"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5"/>
  </rowFields>
  <rowItems count="19">
    <i>
      <x/>
    </i>
    <i r="1">
      <x/>
    </i>
    <i r="1">
      <x v="1"/>
    </i>
    <i r="1">
      <x v="2"/>
    </i>
    <i r="1">
      <x v="3"/>
    </i>
    <i r="1">
      <x v="4"/>
    </i>
    <i>
      <x v="1"/>
    </i>
    <i r="1">
      <x/>
    </i>
    <i r="1">
      <x v="1"/>
    </i>
    <i r="1">
      <x v="2"/>
    </i>
    <i r="1">
      <x v="3"/>
    </i>
    <i r="1">
      <x v="4"/>
    </i>
    <i>
      <x v="2"/>
    </i>
    <i r="1">
      <x/>
    </i>
    <i r="1">
      <x v="1"/>
    </i>
    <i r="1">
      <x v="2"/>
    </i>
    <i r="1">
      <x v="3"/>
    </i>
    <i r="1">
      <x v="4"/>
    </i>
    <i t="grand">
      <x/>
    </i>
  </rowItems>
  <colFields count="1">
    <field x="-2"/>
  </colFields>
  <colItems count="2">
    <i>
      <x/>
    </i>
    <i i="1">
      <x v="1"/>
    </i>
  </colItems>
  <dataFields count="2">
    <dataField name="Sum of Sales" fld="9" baseField="0" baseItem="0"/>
    <dataField name="Sum of Profit" fld="10" baseField="0" baseItem="0"/>
  </dataFields>
  <formats count="13">
    <format dxfId="34">
      <pivotArea grandRow="1" outline="0" collapsedLevelsAreSubtotals="1" fieldPosition="0"/>
    </format>
    <format dxfId="33">
      <pivotArea collapsedLevelsAreSubtotals="1" fieldPosition="0">
        <references count="2">
          <reference field="4294967294" count="1" selected="0">
            <x v="1"/>
          </reference>
          <reference field="4" count="1">
            <x v="0"/>
          </reference>
        </references>
      </pivotArea>
    </format>
    <format dxfId="32">
      <pivotArea collapsedLevelsAreSubtotals="1" fieldPosition="0">
        <references count="3">
          <reference field="4294967294" count="1" selected="0">
            <x v="1"/>
          </reference>
          <reference field="4" count="1" selected="0">
            <x v="0"/>
          </reference>
          <reference field="5" count="0"/>
        </references>
      </pivotArea>
    </format>
    <format dxfId="31">
      <pivotArea collapsedLevelsAreSubtotals="1" fieldPosition="0">
        <references count="2">
          <reference field="4294967294" count="1" selected="0">
            <x v="1"/>
          </reference>
          <reference field="4" count="1">
            <x v="1"/>
          </reference>
        </references>
      </pivotArea>
    </format>
    <format dxfId="30">
      <pivotArea collapsedLevelsAreSubtotals="1" fieldPosition="0">
        <references count="3">
          <reference field="4294967294" count="1" selected="0">
            <x v="1"/>
          </reference>
          <reference field="4" count="1" selected="0">
            <x v="1"/>
          </reference>
          <reference field="5" count="0"/>
        </references>
      </pivotArea>
    </format>
    <format dxfId="29">
      <pivotArea collapsedLevelsAreSubtotals="1" fieldPosition="0">
        <references count="2">
          <reference field="4294967294" count="1" selected="0">
            <x v="1"/>
          </reference>
          <reference field="4" count="1">
            <x v="2"/>
          </reference>
        </references>
      </pivotArea>
    </format>
    <format dxfId="28">
      <pivotArea collapsedLevelsAreSubtotals="1" fieldPosition="0">
        <references count="3">
          <reference field="4294967294" count="1" selected="0">
            <x v="1"/>
          </reference>
          <reference field="4" count="1" selected="0">
            <x v="2"/>
          </reference>
          <reference field="5" count="0"/>
        </references>
      </pivotArea>
    </format>
    <format dxfId="27">
      <pivotArea collapsedLevelsAreSubtotals="1" fieldPosition="0">
        <references count="2">
          <reference field="4294967294" count="1" selected="0">
            <x v="0"/>
          </reference>
          <reference field="4" count="1">
            <x v="0"/>
          </reference>
        </references>
      </pivotArea>
    </format>
    <format dxfId="26">
      <pivotArea collapsedLevelsAreSubtotals="1" fieldPosition="0">
        <references count="3">
          <reference field="4294967294" count="1" selected="0">
            <x v="0"/>
          </reference>
          <reference field="4" count="1" selected="0">
            <x v="0"/>
          </reference>
          <reference field="5" count="0"/>
        </references>
      </pivotArea>
    </format>
    <format dxfId="25">
      <pivotArea collapsedLevelsAreSubtotals="1" fieldPosition="0">
        <references count="2">
          <reference field="4294967294" count="1" selected="0">
            <x v="0"/>
          </reference>
          <reference field="4" count="1">
            <x v="1"/>
          </reference>
        </references>
      </pivotArea>
    </format>
    <format dxfId="24">
      <pivotArea collapsedLevelsAreSubtotals="1" fieldPosition="0">
        <references count="3">
          <reference field="4294967294" count="1" selected="0">
            <x v="0"/>
          </reference>
          <reference field="4" count="1" selected="0">
            <x v="1"/>
          </reference>
          <reference field="5" count="0"/>
        </references>
      </pivotArea>
    </format>
    <format dxfId="23">
      <pivotArea collapsedLevelsAreSubtotals="1" fieldPosition="0">
        <references count="2">
          <reference field="4294967294" count="1" selected="0">
            <x v="0"/>
          </reference>
          <reference field="4" count="1">
            <x v="2"/>
          </reference>
        </references>
      </pivotArea>
    </format>
    <format dxfId="22">
      <pivotArea collapsedLevelsAreSubtotals="1" fieldPosition="0">
        <references count="3">
          <reference field="4294967294" count="1" selected="0">
            <x v="0"/>
          </reference>
          <reference field="4" count="1" selected="0">
            <x v="2"/>
          </reference>
          <reference field="5"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BEDA64-38B1-48D1-94BD-366E66E3967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7:C113" firstHeaderRow="0"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axis="axisRow" showAll="0">
      <items count="6">
        <item x="2"/>
        <item x="4"/>
        <item x="1"/>
        <item x="0"/>
        <item x="3"/>
        <item t="default"/>
      </items>
    </pivotField>
    <pivotField showAll="0"/>
    <pivotField showAll="0"/>
    <pivotField showAll="0"/>
    <pivotField dataField="1" showAll="0"/>
    <pivotField dataField="1"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Fields count="1">
    <field x="-2"/>
  </colFields>
  <colItems count="2">
    <i>
      <x/>
    </i>
    <i i="1">
      <x v="1"/>
    </i>
  </colItems>
  <dataFields count="2">
    <dataField name="Sum of Profit" fld="10" baseField="0" baseItem="0"/>
    <dataField name="Sum of Sales" fld="9" baseField="0" baseItem="0"/>
  </dataFields>
  <formats count="3">
    <format dxfId="37">
      <pivotArea grandRow="1" outline="0" collapsedLevelsAreSubtotals="1" fieldPosition="0"/>
    </format>
    <format dxfId="36">
      <pivotArea collapsedLevelsAreSubtotals="1" fieldPosition="0">
        <references count="2">
          <reference field="4294967294" count="1" selected="0">
            <x v="0"/>
          </reference>
          <reference field="5" count="0"/>
        </references>
      </pivotArea>
    </format>
    <format dxfId="35">
      <pivotArea collapsedLevelsAreSubtotals="1" fieldPosition="0">
        <references count="2">
          <reference field="4294967294" count="1" selected="0">
            <x v="1"/>
          </reference>
          <reference field="5" count="0"/>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5"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2"/>
          </reference>
        </references>
      </pivotArea>
    </chartFormat>
    <chartFormat chart="8" format="18">
      <pivotArea type="data" outline="0" fieldPosition="0">
        <references count="2">
          <reference field="4294967294" count="1" selected="0">
            <x v="0"/>
          </reference>
          <reference field="5" count="1" selected="0">
            <x v="3"/>
          </reference>
        </references>
      </pivotArea>
    </chartFormat>
    <chartFormat chart="8" format="19">
      <pivotArea type="data" outline="0" fieldPosition="0">
        <references count="2">
          <reference field="4294967294" count="1" selected="0">
            <x v="0"/>
          </reference>
          <reference field="5" count="1" selected="0">
            <x v="4"/>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2">
          <reference field="4294967294" count="1" selected="0">
            <x v="1"/>
          </reference>
          <reference field="5" count="1" selected="0">
            <x v="0"/>
          </reference>
        </references>
      </pivotArea>
    </chartFormat>
    <chartFormat chart="8" format="22">
      <pivotArea type="data" outline="0" fieldPosition="0">
        <references count="2">
          <reference field="4294967294" count="1" selected="0">
            <x v="1"/>
          </reference>
          <reference field="5" count="1" selected="0">
            <x v="1"/>
          </reference>
        </references>
      </pivotArea>
    </chartFormat>
    <chartFormat chart="8" format="23">
      <pivotArea type="data" outline="0" fieldPosition="0">
        <references count="2">
          <reference field="4294967294" count="1" selected="0">
            <x v="1"/>
          </reference>
          <reference field="5" count="1" selected="0">
            <x v="2"/>
          </reference>
        </references>
      </pivotArea>
    </chartFormat>
    <chartFormat chart="8" format="24">
      <pivotArea type="data" outline="0" fieldPosition="0">
        <references count="2">
          <reference field="4294967294" count="1" selected="0">
            <x v="1"/>
          </reference>
          <reference field="5" count="1" selected="0">
            <x v="3"/>
          </reference>
        </references>
      </pivotArea>
    </chartFormat>
    <chartFormat chart="8" format="25">
      <pivotArea type="data" outline="0" fieldPosition="0">
        <references count="2">
          <reference field="4294967294" count="1" selected="0">
            <x v="1"/>
          </reference>
          <reference field="5" count="1" selected="0">
            <x v="4"/>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1"/>
          </reference>
          <reference field="5" count="1" selected="0">
            <x v="0"/>
          </reference>
        </references>
      </pivotArea>
    </chartFormat>
    <chartFormat chart="0" format="8">
      <pivotArea type="data" outline="0" fieldPosition="0">
        <references count="2">
          <reference field="4294967294" count="1" selected="0">
            <x v="1"/>
          </reference>
          <reference field="5" count="1" selected="0">
            <x v="1"/>
          </reference>
        </references>
      </pivotArea>
    </chartFormat>
    <chartFormat chart="0" format="9">
      <pivotArea type="data" outline="0" fieldPosition="0">
        <references count="2">
          <reference field="4294967294" count="1" selected="0">
            <x v="1"/>
          </reference>
          <reference field="5" count="1" selected="0">
            <x v="2"/>
          </reference>
        </references>
      </pivotArea>
    </chartFormat>
    <chartFormat chart="0" format="10">
      <pivotArea type="data" outline="0" fieldPosition="0">
        <references count="2">
          <reference field="4294967294" count="1" selected="0">
            <x v="1"/>
          </reference>
          <reference field="5" count="1" selected="0">
            <x v="3"/>
          </reference>
        </references>
      </pivotArea>
    </chartFormat>
    <chartFormat chart="0" format="11">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E6C76C-BAE1-46DB-A30C-C177E5C998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8" firstHeaderRow="0"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axis="axisRow"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Sales" fld="9" baseField="0" baseItem="0"/>
    <dataField name="Sum of Profit" fld="10" baseField="0" baseItem="0"/>
  </dataFields>
  <formats count="5">
    <format dxfId="42">
      <pivotArea collapsedLevelsAreSubtotals="1" fieldPosition="0">
        <references count="2">
          <reference field="4294967294" count="1" selected="0">
            <x v="1"/>
          </reference>
          <reference field="3" count="0"/>
        </references>
      </pivotArea>
    </format>
    <format dxfId="41">
      <pivotArea collapsedLevelsAreSubtotals="1" fieldPosition="0">
        <references count="2">
          <reference field="4294967294" count="1" selected="0">
            <x v="0"/>
          </reference>
          <reference field="3" count="0"/>
        </references>
      </pivotArea>
    </format>
    <format dxfId="40">
      <pivotArea field="3" grandRow="1" outline="0" collapsedLevelsAreSubtotals="1" axis="axisRow" fieldPosition="0">
        <references count="1">
          <reference field="4294967294" count="1" selected="0">
            <x v="0"/>
          </reference>
        </references>
      </pivotArea>
    </format>
    <format dxfId="39">
      <pivotArea field="3" grandRow="1" outline="0" collapsedLevelsAreSubtotals="1" axis="axisRow" fieldPosition="0">
        <references count="1">
          <reference field="4294967294" count="1" selected="0">
            <x v="1"/>
          </reference>
        </references>
      </pivotArea>
    </format>
    <format dxfId="38">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A62B96-462A-4B71-850B-9063845EF8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7:C98" firstHeaderRow="0" firstDataRow="1" firstDataCol="1"/>
  <pivotFields count="15">
    <pivotField showAll="0"/>
    <pivotField axis="axisRow"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numFmtId="9"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1">
    <i>
      <x v="1"/>
    </i>
    <i>
      <x v="2"/>
    </i>
    <i>
      <x v="3"/>
    </i>
    <i>
      <x v="4"/>
    </i>
    <i>
      <x v="5"/>
    </i>
    <i>
      <x v="6"/>
    </i>
    <i>
      <x v="7"/>
    </i>
    <i>
      <x v="8"/>
    </i>
    <i>
      <x v="9"/>
    </i>
    <i>
      <x v="10"/>
    </i>
    <i t="grand">
      <x/>
    </i>
  </rowItems>
  <colFields count="1">
    <field x="-2"/>
  </colFields>
  <colItems count="2">
    <i>
      <x/>
    </i>
    <i i="1">
      <x v="1"/>
    </i>
  </colItems>
  <dataFields count="2">
    <dataField name="Sum of Sales" fld="9" baseField="0" baseItem="0"/>
    <dataField name="Sum of Profit" fld="10" baseField="0" baseItem="0" numFmtId="2"/>
  </dataFields>
  <formats count="2">
    <format dxfId="44">
      <pivotArea outline="0" collapsedLevelsAreSubtotals="1" fieldPosition="0">
        <references count="1">
          <reference field="4294967294" count="1" selected="0">
            <x v="1"/>
          </reference>
        </references>
      </pivotArea>
    </format>
    <format dxfId="43">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9C75D9-45FF-44AD-A1E1-6EA40911990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8:C129" firstHeaderRow="0" firstDataRow="1" firstDataCol="0"/>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dataField="1" numFmtId="9"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Sales" fld="9" baseField="0" baseItem="0" numFmtId="165"/>
    <dataField name="Sum of Profit" fld="10" baseField="0" baseItem="0" numFmtId="165"/>
    <dataField name="Average of Profit_Margin" fld="11" subtotal="average" baseField="0" baseItem="0" numFmtId="10"/>
  </dataFields>
  <formats count="3">
    <format dxfId="47">
      <pivotArea outline="0" collapsedLevelsAreSubtotals="1" fieldPosition="0">
        <references count="1">
          <reference field="4294967294" count="2" selected="0">
            <x v="0"/>
            <x v="1"/>
          </reference>
        </references>
      </pivotArea>
    </format>
    <format dxfId="46">
      <pivotArea dataOnly="0" labelOnly="1" outline="0" fieldPosition="0">
        <references count="1">
          <reference field="4294967294" count="2">
            <x v="0"/>
            <x v="1"/>
          </reference>
        </references>
      </pivotArea>
    </format>
    <format dxfId="4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677794-98EB-4FC7-A912-9773A7359DA0}" autoFormatId="16" applyNumberFormats="0" applyBorderFormats="0" applyFontFormats="0" applyPatternFormats="0" applyAlignmentFormats="0" applyWidthHeightFormats="0">
  <queryTableRefresh nextId="15">
    <queryTableFields count="13">
      <queryTableField id="1" name="Order_ID" tableColumnId="1"/>
      <queryTableField id="2" name="Order_Date" tableColumnId="2"/>
      <queryTableField id="3" name="Customer_Name" tableColumnId="3"/>
      <queryTableField id="4" name="Region" tableColumnId="4"/>
      <queryTableField id="5" name="Product_Category" tableColumnId="5"/>
      <queryTableField id="6" name="Sub_Category" tableColumnId="6"/>
      <queryTableField id="7" name="Quantity" tableColumnId="7"/>
      <queryTableField id="8" name="Unit_Price" tableColumnId="8"/>
      <queryTableField id="9" name="Discount" tableColumnId="9"/>
      <queryTableField id="10" name="Sales" tableColumnId="10"/>
      <queryTableField id="11" name="Profit" tableColumnId="11"/>
      <queryTableField id="13" name="Profit_Margin" tableColumnId="13"/>
      <queryTableField id="12" name="Returne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926DFF-2772-4B0B-83D3-AC0904AFA8E4}" sourceName="Region">
  <pivotTables>
    <pivotTable tabId="4" name="PivotTable10"/>
    <pivotTable tabId="4" name="PivotTable1"/>
    <pivotTable tabId="4" name="PivotTable2"/>
    <pivotTable tabId="4" name="PivotTable3"/>
    <pivotTable tabId="4" name="PivotTable4"/>
    <pivotTable tabId="4" name="PivotTable5"/>
    <pivotTable tabId="4" name="PivotTable6"/>
  </pivotTables>
  <data>
    <tabular pivotCacheId="81918083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A1B48C0-AB1A-4E81-A46D-3FCDC72FD06D}" sourceName="Sub_Category">
  <pivotTables>
    <pivotTable tabId="4" name="PivotTable10"/>
    <pivotTable tabId="4" name="PivotTable1"/>
    <pivotTable tabId="4" name="PivotTable2"/>
    <pivotTable tabId="4" name="PivotTable3"/>
    <pivotTable tabId="4" name="PivotTable4"/>
    <pivotTable tabId="4" name="PivotTable5"/>
    <pivotTable tabId="4" name="PivotTable6"/>
  </pivotTables>
  <data>
    <tabular pivotCacheId="819180833">
      <items count="5">
        <i x="2" s="1"/>
        <i x="4"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58907D0-D2D5-4AF3-9DC5-5FCB6821518D}" sourceName="Months (Order_Date)">
  <pivotTables>
    <pivotTable tabId="4" name="PivotTable10"/>
    <pivotTable tabId="4" name="PivotTable1"/>
    <pivotTable tabId="4" name="PivotTable2"/>
    <pivotTable tabId="4" name="PivotTable3"/>
    <pivotTable tabId="4" name="PivotTable4"/>
    <pivotTable tabId="4" name="PivotTable5"/>
    <pivotTable tabId="4" name="PivotTable6"/>
  </pivotTables>
  <data>
    <tabular pivotCacheId="819180833">
      <items count="14">
        <i x="1" s="1"/>
        <i x="2" s="1"/>
        <i x="3" s="1"/>
        <i x="4" s="1"/>
        <i x="5" s="1"/>
        <i x="6" s="1"/>
        <i x="7" s="1"/>
        <i x="8" s="1"/>
        <i x="9" s="1"/>
        <i x="10" s="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58C18F7C-CA26-4492-A615-1C6D1A119734}" sourceName="Returned">
  <pivotTables>
    <pivotTable tabId="4" name="PivotTable7"/>
  </pivotTables>
  <data>
    <tabular pivotCacheId="81918083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DFFF53-BA88-49B8-92AC-842F6CC6DEDC}" cache="Slicer_Region" caption="Region" rowHeight="241300"/>
  <slicer name="Sub_Category" xr10:uid="{C9D8F480-803E-4AD8-A518-38D95F6BCF7E}" cache="Slicer_Sub_Category" caption="Sub_Category" rowHeight="241300"/>
  <slicer name="Months (Order_Date)" xr10:uid="{30765EA5-1DC2-4A98-A635-45A899FDFB6A}" cache="Slicer_Months__Order_Date" caption="Months (Order_Date)" rowHeight="241300"/>
  <slicer name="Returned" xr10:uid="{3F5B34F6-41E4-418D-BE90-63C1006F2ADB}" cache="Slicer_Returned" caption="Return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B2F086E-A2C4-4C4C-9C61-8E50291F3DDF}" cache="Slicer_Region" caption="Region" columnCount="2" style="SlicerStyleOther1" rowHeight="241300"/>
  <slicer name="Sub_Category 1" xr10:uid="{5018ABFA-4FD4-4ADF-A6B5-2A84E7A3648F}" cache="Slicer_Sub_Category" caption="Sub_Category" columnCount="3" style="Grey" rowHeight="241300"/>
  <slicer name="Months (Order_Date) 1" xr10:uid="{BE19417F-1BE5-4D42-988C-F0C5948743B5}" cache="Slicer_Months__Order_Date" caption="Months (Order_Date)" columnCount="2"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5113A-037D-4F76-BABC-DC9BED5FC79A}" name="Sheet1" displayName="Sheet1" ref="A1:M316" tableType="queryTable" totalsRowShown="0">
  <autoFilter ref="A1:M316" xr:uid="{58F5113A-037D-4F76-BABC-DC9BED5FC79A}"/>
  <tableColumns count="13">
    <tableColumn id="1" xr3:uid="{A269D7DF-12D1-4324-BABE-3CECD763C88E}" uniqueName="1" name="Order_ID" queryTableFieldId="1"/>
    <tableColumn id="2" xr3:uid="{515A00D7-075E-4780-ADAA-6AF5DF0D9E8D}" uniqueName="2" name="Order_Date" queryTableFieldId="2" dataDxfId="10"/>
    <tableColumn id="3" xr3:uid="{EE28DD54-9904-4E25-B8A5-9F8200EAB5AB}" uniqueName="3" name="Customer_Name" queryTableFieldId="3" dataDxfId="9"/>
    <tableColumn id="4" xr3:uid="{A5B70477-F35F-47D3-973F-011E4C177138}" uniqueName="4" name="Region" queryTableFieldId="4" dataDxfId="8"/>
    <tableColumn id="5" xr3:uid="{73422240-21AB-47B5-85E1-02485A0B5298}" uniqueName="5" name="Product_Category" queryTableFieldId="5" dataDxfId="7"/>
    <tableColumn id="6" xr3:uid="{1A24B6FC-B30E-42C8-B278-B3C705827DEE}" uniqueName="6" name="Sub_Category" queryTableFieldId="6" dataDxfId="6"/>
    <tableColumn id="7" xr3:uid="{B316D967-7B01-49F6-A492-B313A1CB4B50}" uniqueName="7" name="Quantity" queryTableFieldId="7"/>
    <tableColumn id="8" xr3:uid="{849B1554-BADB-4E4C-9C80-D7A8996AFB05}" uniqueName="8" name="Unit_Price" queryTableFieldId="8" dataDxfId="5"/>
    <tableColumn id="9" xr3:uid="{4B440CA8-F4C2-4FDC-9123-A0D80CC50F43}" uniqueName="9" name="Discount" queryTableFieldId="9" dataDxfId="4" dataCellStyle="Percent"/>
    <tableColumn id="10" xr3:uid="{16F84D95-83A8-4463-8CD6-0ABA8759D88F}" uniqueName="10" name="Sales" queryTableFieldId="10" dataDxfId="3"/>
    <tableColumn id="11" xr3:uid="{85DE133F-C834-4133-AA1F-A155635A1E0A}" uniqueName="11" name="Profit" queryTableFieldId="11" dataDxfId="2"/>
    <tableColumn id="13" xr3:uid="{DD8720AC-3682-4484-A5FC-CD42714E8FD7}" uniqueName="13" name="Profit_Margin" queryTableFieldId="13" dataDxfId="1" dataCellStyle="Percent"/>
    <tableColumn id="12" xr3:uid="{323AD8E4-7195-4C67-A8B8-49427C35E26B}" uniqueName="12" name="Returned"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6"/>
  <sheetViews>
    <sheetView workbookViewId="0"/>
  </sheetViews>
  <sheetFormatPr defaultRowHeight="15" x14ac:dyDescent="0.25"/>
  <cols>
    <col min="1" max="1" width="8.42578125" bestFit="1" customWidth="1"/>
    <col min="2" max="2" width="18.28515625" bestFit="1" customWidth="1"/>
    <col min="3" max="3" width="10.5703125" bestFit="1" customWidth="1"/>
    <col min="4" max="4" width="7.42578125" bestFit="1" customWidth="1"/>
    <col min="5" max="5" width="14.5703125" bestFit="1" customWidth="1"/>
    <col min="6" max="6" width="12.85546875" bestFit="1" customWidth="1"/>
    <col min="7" max="7" width="8.7109375" bestFit="1" customWidth="1"/>
    <col min="8" max="8" width="9.7109375" bestFit="1" customWidth="1"/>
    <col min="9" max="9" width="8.7109375" bestFit="1" customWidth="1"/>
    <col min="10" max="10" width="7" bestFit="1" customWidth="1"/>
    <col min="11" max="11" width="12" bestFit="1" customWidth="1"/>
    <col min="12" max="12" width="9.285156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1771</v>
      </c>
      <c r="B2" s="2">
        <v>44656</v>
      </c>
      <c r="C2" t="s">
        <v>13</v>
      </c>
      <c r="D2" t="s">
        <v>20</v>
      </c>
      <c r="E2" t="s">
        <v>24</v>
      </c>
      <c r="F2" t="s">
        <v>27</v>
      </c>
      <c r="G2">
        <v>9</v>
      </c>
      <c r="H2">
        <v>112</v>
      </c>
      <c r="I2">
        <v>0.2</v>
      </c>
      <c r="J2">
        <v>806.40000000000009</v>
      </c>
      <c r="K2">
        <v>100.54307563549671</v>
      </c>
      <c r="L2" t="s">
        <v>32</v>
      </c>
      <c r="M2" t="s">
        <v>34</v>
      </c>
    </row>
    <row r="3" spans="1:13" x14ac:dyDescent="0.25">
      <c r="A3">
        <v>1871</v>
      </c>
      <c r="B3" s="2">
        <v>44730</v>
      </c>
      <c r="C3" t="s">
        <v>14</v>
      </c>
      <c r="D3" t="s">
        <v>21</v>
      </c>
      <c r="E3" t="s">
        <v>25</v>
      </c>
      <c r="F3" t="s">
        <v>28</v>
      </c>
      <c r="G3">
        <v>8</v>
      </c>
      <c r="H3">
        <v>111</v>
      </c>
      <c r="I3">
        <v>0.2</v>
      </c>
      <c r="J3">
        <v>710.40000000000009</v>
      </c>
      <c r="K3">
        <v>132.05238740005399</v>
      </c>
      <c r="L3" t="s">
        <v>32</v>
      </c>
      <c r="M3" t="s">
        <v>35</v>
      </c>
    </row>
    <row r="4" spans="1:13" x14ac:dyDescent="0.25">
      <c r="A4">
        <v>1091</v>
      </c>
      <c r="B4" s="2">
        <v>44637</v>
      </c>
      <c r="C4" t="s">
        <v>15</v>
      </c>
      <c r="D4" t="s">
        <v>22</v>
      </c>
      <c r="E4" t="s">
        <v>26</v>
      </c>
      <c r="F4" t="s">
        <v>28</v>
      </c>
      <c r="G4">
        <v>9</v>
      </c>
      <c r="H4">
        <v>399</v>
      </c>
      <c r="I4">
        <v>0</v>
      </c>
      <c r="J4">
        <v>3591</v>
      </c>
      <c r="K4">
        <v>1017.252493213679</v>
      </c>
      <c r="L4" t="s">
        <v>32</v>
      </c>
      <c r="M4" t="s">
        <v>34</v>
      </c>
    </row>
    <row r="5" spans="1:13" x14ac:dyDescent="0.25">
      <c r="A5">
        <v>1627</v>
      </c>
      <c r="B5" s="2">
        <v>44805</v>
      </c>
      <c r="C5" t="s">
        <v>14</v>
      </c>
      <c r="D5" t="s">
        <v>21</v>
      </c>
      <c r="E5" t="s">
        <v>24</v>
      </c>
      <c r="F5" t="s">
        <v>27</v>
      </c>
      <c r="G5">
        <v>2</v>
      </c>
      <c r="H5">
        <v>106</v>
      </c>
      <c r="I5">
        <v>0</v>
      </c>
      <c r="J5">
        <v>212</v>
      </c>
      <c r="K5">
        <v>32.741331901580288</v>
      </c>
      <c r="L5" t="s">
        <v>32</v>
      </c>
      <c r="M5" t="s">
        <v>35</v>
      </c>
    </row>
    <row r="6" spans="1:13" x14ac:dyDescent="0.25">
      <c r="A6">
        <v>1458</v>
      </c>
      <c r="B6" s="2">
        <v>44575</v>
      </c>
      <c r="C6" t="s">
        <v>14</v>
      </c>
      <c r="D6" t="s">
        <v>22</v>
      </c>
      <c r="E6" t="s">
        <v>25</v>
      </c>
      <c r="F6" t="s">
        <v>27</v>
      </c>
      <c r="G6">
        <v>4</v>
      </c>
      <c r="H6">
        <v>223</v>
      </c>
      <c r="I6">
        <v>0.1</v>
      </c>
      <c r="J6">
        <v>802.80000000000007</v>
      </c>
      <c r="K6">
        <v>81.089951870020002</v>
      </c>
      <c r="L6" t="s">
        <v>32</v>
      </c>
      <c r="M6" t="s">
        <v>34</v>
      </c>
    </row>
    <row r="7" spans="1:13" x14ac:dyDescent="0.25">
      <c r="A7">
        <v>1224</v>
      </c>
      <c r="B7" s="2">
        <v>44816</v>
      </c>
      <c r="C7" t="s">
        <v>15</v>
      </c>
      <c r="D7" t="s">
        <v>22</v>
      </c>
      <c r="E7" t="s">
        <v>26</v>
      </c>
      <c r="F7" t="s">
        <v>29</v>
      </c>
      <c r="G7">
        <v>2</v>
      </c>
      <c r="H7">
        <v>192</v>
      </c>
      <c r="I7">
        <v>0.3</v>
      </c>
      <c r="J7">
        <v>268.8</v>
      </c>
      <c r="K7">
        <v>61.78056342320744</v>
      </c>
      <c r="L7" t="s">
        <v>32</v>
      </c>
      <c r="M7" t="s">
        <v>34</v>
      </c>
    </row>
    <row r="8" spans="1:13" x14ac:dyDescent="0.25">
      <c r="A8">
        <v>1427</v>
      </c>
      <c r="B8" s="2">
        <v>44641</v>
      </c>
      <c r="C8" t="s">
        <v>14</v>
      </c>
      <c r="D8" t="s">
        <v>21</v>
      </c>
      <c r="E8" t="s">
        <v>26</v>
      </c>
      <c r="F8" t="s">
        <v>30</v>
      </c>
      <c r="G8">
        <v>9</v>
      </c>
      <c r="H8">
        <v>464</v>
      </c>
      <c r="I8">
        <v>0.3</v>
      </c>
      <c r="J8">
        <v>2923.2</v>
      </c>
      <c r="K8">
        <v>720.31420249303346</v>
      </c>
      <c r="L8" t="s">
        <v>32</v>
      </c>
      <c r="M8" t="s">
        <v>36</v>
      </c>
    </row>
    <row r="9" spans="1:13" x14ac:dyDescent="0.25">
      <c r="A9">
        <v>1510</v>
      </c>
      <c r="B9" s="2">
        <v>44603</v>
      </c>
      <c r="C9" t="s">
        <v>13</v>
      </c>
      <c r="D9" t="s">
        <v>22</v>
      </c>
      <c r="E9" t="s">
        <v>24</v>
      </c>
      <c r="F9" t="s">
        <v>28</v>
      </c>
      <c r="G9">
        <v>2</v>
      </c>
      <c r="H9">
        <v>290</v>
      </c>
      <c r="I9">
        <v>0</v>
      </c>
      <c r="J9">
        <v>580</v>
      </c>
      <c r="K9">
        <v>29.46664822262041</v>
      </c>
      <c r="L9" t="s">
        <v>33</v>
      </c>
      <c r="M9" t="s">
        <v>34</v>
      </c>
    </row>
    <row r="10" spans="1:13" x14ac:dyDescent="0.25">
      <c r="A10">
        <v>1815</v>
      </c>
      <c r="B10" s="2">
        <v>44669</v>
      </c>
      <c r="C10" t="s">
        <v>16</v>
      </c>
      <c r="D10" t="s">
        <v>21</v>
      </c>
      <c r="E10" t="s">
        <v>25</v>
      </c>
      <c r="F10" t="s">
        <v>27</v>
      </c>
      <c r="G10">
        <v>9</v>
      </c>
      <c r="H10">
        <v>43</v>
      </c>
      <c r="I10">
        <v>0</v>
      </c>
      <c r="J10">
        <v>387</v>
      </c>
      <c r="K10">
        <v>67.382616490375241</v>
      </c>
      <c r="L10" t="s">
        <v>32</v>
      </c>
      <c r="M10" t="s">
        <v>34</v>
      </c>
    </row>
    <row r="11" spans="1:13" x14ac:dyDescent="0.25">
      <c r="A11">
        <v>1776</v>
      </c>
      <c r="B11" s="2">
        <v>44632</v>
      </c>
      <c r="C11" t="s">
        <v>13</v>
      </c>
      <c r="D11" t="s">
        <v>23</v>
      </c>
      <c r="E11" t="s">
        <v>25</v>
      </c>
      <c r="F11" t="s">
        <v>29</v>
      </c>
      <c r="G11">
        <v>2</v>
      </c>
      <c r="H11">
        <v>460</v>
      </c>
      <c r="I11">
        <v>0.2</v>
      </c>
      <c r="J11">
        <v>736</v>
      </c>
      <c r="K11">
        <v>53.102479061049571</v>
      </c>
      <c r="L11" t="s">
        <v>33</v>
      </c>
      <c r="M11" t="s">
        <v>35</v>
      </c>
    </row>
    <row r="12" spans="1:13" x14ac:dyDescent="0.25">
      <c r="A12">
        <v>1313</v>
      </c>
      <c r="B12" s="2">
        <v>44595</v>
      </c>
      <c r="C12" t="s">
        <v>17</v>
      </c>
      <c r="D12" t="s">
        <v>21</v>
      </c>
      <c r="E12" t="s">
        <v>24</v>
      </c>
      <c r="F12" t="s">
        <v>30</v>
      </c>
      <c r="G12">
        <v>6</v>
      </c>
      <c r="H12">
        <v>449</v>
      </c>
      <c r="I12">
        <v>0</v>
      </c>
      <c r="J12">
        <v>2694</v>
      </c>
      <c r="K12">
        <v>382.75646879636241</v>
      </c>
      <c r="L12" t="s">
        <v>32</v>
      </c>
      <c r="M12" t="s">
        <v>34</v>
      </c>
    </row>
    <row r="13" spans="1:13" x14ac:dyDescent="0.25">
      <c r="A13">
        <v>1474</v>
      </c>
      <c r="B13" s="2">
        <v>44601</v>
      </c>
      <c r="C13" t="s">
        <v>15</v>
      </c>
      <c r="D13" t="s">
        <v>23</v>
      </c>
      <c r="E13" t="s">
        <v>25</v>
      </c>
      <c r="F13" t="s">
        <v>30</v>
      </c>
      <c r="G13">
        <v>1</v>
      </c>
      <c r="H13">
        <v>416</v>
      </c>
      <c r="I13">
        <v>0</v>
      </c>
      <c r="J13">
        <v>416</v>
      </c>
      <c r="K13">
        <v>63.712671448256863</v>
      </c>
      <c r="L13" t="s">
        <v>32</v>
      </c>
      <c r="M13" t="s">
        <v>36</v>
      </c>
    </row>
    <row r="14" spans="1:13" x14ac:dyDescent="0.25">
      <c r="A14">
        <v>1130</v>
      </c>
      <c r="B14" s="2">
        <v>44619</v>
      </c>
      <c r="C14" t="s">
        <v>18</v>
      </c>
      <c r="D14" t="s">
        <v>22</v>
      </c>
      <c r="E14" t="s">
        <v>24</v>
      </c>
      <c r="F14" t="s">
        <v>27</v>
      </c>
      <c r="G14">
        <v>7</v>
      </c>
      <c r="H14">
        <v>401</v>
      </c>
      <c r="I14">
        <v>0.1</v>
      </c>
      <c r="J14">
        <v>2526.3000000000002</v>
      </c>
      <c r="K14">
        <v>647.39558123447273</v>
      </c>
      <c r="L14" t="s">
        <v>32</v>
      </c>
      <c r="M14" t="s">
        <v>34</v>
      </c>
    </row>
    <row r="15" spans="1:13" x14ac:dyDescent="0.25">
      <c r="A15">
        <v>1929</v>
      </c>
      <c r="B15" s="2">
        <v>44720</v>
      </c>
      <c r="C15" t="s">
        <v>17</v>
      </c>
      <c r="D15" t="s">
        <v>20</v>
      </c>
      <c r="E15" t="s">
        <v>25</v>
      </c>
      <c r="F15" t="s">
        <v>31</v>
      </c>
      <c r="G15">
        <v>9</v>
      </c>
      <c r="H15">
        <v>60</v>
      </c>
      <c r="I15">
        <v>0.2</v>
      </c>
      <c r="J15">
        <v>432</v>
      </c>
      <c r="K15">
        <v>45.934228434733392</v>
      </c>
      <c r="L15" t="s">
        <v>32</v>
      </c>
      <c r="M15" t="s">
        <v>36</v>
      </c>
    </row>
    <row r="16" spans="1:13" x14ac:dyDescent="0.25">
      <c r="A16">
        <v>1021</v>
      </c>
      <c r="B16" s="2">
        <v>44596</v>
      </c>
      <c r="C16" t="s">
        <v>13</v>
      </c>
      <c r="D16" t="s">
        <v>23</v>
      </c>
      <c r="E16" t="s">
        <v>24</v>
      </c>
      <c r="F16" t="s">
        <v>29</v>
      </c>
      <c r="G16">
        <v>8</v>
      </c>
      <c r="H16">
        <v>245</v>
      </c>
      <c r="I16">
        <v>0.3</v>
      </c>
      <c r="J16">
        <v>1372</v>
      </c>
      <c r="K16">
        <v>222.4734464174081</v>
      </c>
      <c r="L16" t="s">
        <v>32</v>
      </c>
      <c r="M16" t="s">
        <v>34</v>
      </c>
    </row>
    <row r="17" spans="1:13" x14ac:dyDescent="0.25">
      <c r="A17">
        <v>1206</v>
      </c>
      <c r="B17" s="2">
        <v>44749</v>
      </c>
      <c r="C17" t="s">
        <v>17</v>
      </c>
      <c r="D17" t="s">
        <v>22</v>
      </c>
      <c r="E17" t="s">
        <v>24</v>
      </c>
      <c r="F17" t="s">
        <v>31</v>
      </c>
      <c r="G17">
        <v>2</v>
      </c>
      <c r="H17">
        <v>122</v>
      </c>
      <c r="I17">
        <v>0.1</v>
      </c>
      <c r="J17">
        <v>219.6</v>
      </c>
      <c r="K17">
        <v>25.17828383535333</v>
      </c>
      <c r="L17" t="s">
        <v>32</v>
      </c>
      <c r="M17" t="s">
        <v>36</v>
      </c>
    </row>
    <row r="18" spans="1:13" x14ac:dyDescent="0.25">
      <c r="A18">
        <v>1410</v>
      </c>
      <c r="B18" s="2">
        <v>44812</v>
      </c>
      <c r="C18" t="s">
        <v>13</v>
      </c>
      <c r="D18" t="s">
        <v>23</v>
      </c>
      <c r="E18" t="s">
        <v>24</v>
      </c>
      <c r="F18" t="s">
        <v>31</v>
      </c>
      <c r="G18">
        <v>3</v>
      </c>
      <c r="H18">
        <v>166</v>
      </c>
      <c r="J18">
        <v>498</v>
      </c>
      <c r="K18">
        <v>45.098059019918679</v>
      </c>
      <c r="L18" t="s">
        <v>32</v>
      </c>
      <c r="M18" t="s">
        <v>34</v>
      </c>
    </row>
    <row r="19" spans="1:13" x14ac:dyDescent="0.25">
      <c r="A19">
        <v>1565</v>
      </c>
      <c r="B19" s="2">
        <v>44654</v>
      </c>
      <c r="C19" t="s">
        <v>19</v>
      </c>
      <c r="D19" t="s">
        <v>20</v>
      </c>
      <c r="E19" t="s">
        <v>25</v>
      </c>
      <c r="F19" t="s">
        <v>31</v>
      </c>
      <c r="G19">
        <v>1</v>
      </c>
      <c r="H19">
        <v>492</v>
      </c>
      <c r="J19">
        <v>492</v>
      </c>
      <c r="K19">
        <v>58.187709626655931</v>
      </c>
      <c r="L19" t="s">
        <v>32</v>
      </c>
      <c r="M19" t="s">
        <v>36</v>
      </c>
    </row>
    <row r="20" spans="1:13" x14ac:dyDescent="0.25">
      <c r="A20">
        <v>1942</v>
      </c>
      <c r="B20" s="2">
        <v>44737</v>
      </c>
      <c r="C20" t="s">
        <v>16</v>
      </c>
      <c r="D20" t="s">
        <v>21</v>
      </c>
      <c r="E20" t="s">
        <v>25</v>
      </c>
      <c r="F20" t="s">
        <v>27</v>
      </c>
      <c r="G20">
        <v>5</v>
      </c>
      <c r="H20">
        <v>372</v>
      </c>
      <c r="I20">
        <v>0.3</v>
      </c>
      <c r="J20">
        <v>1302</v>
      </c>
      <c r="K20">
        <v>282.86677080062481</v>
      </c>
      <c r="L20" t="s">
        <v>32</v>
      </c>
      <c r="M20" t="s">
        <v>35</v>
      </c>
    </row>
    <row r="21" spans="1:13" x14ac:dyDescent="0.25">
      <c r="A21">
        <v>1121</v>
      </c>
      <c r="B21" s="2">
        <v>44571</v>
      </c>
      <c r="C21" t="s">
        <v>19</v>
      </c>
      <c r="D21" t="s">
        <v>20</v>
      </c>
      <c r="E21" t="s">
        <v>24</v>
      </c>
      <c r="F21" t="s">
        <v>31</v>
      </c>
      <c r="G21">
        <v>7</v>
      </c>
      <c r="H21">
        <v>289</v>
      </c>
      <c r="I21">
        <v>0.3</v>
      </c>
      <c r="J21">
        <v>1416.1</v>
      </c>
      <c r="K21">
        <v>421.93051802645829</v>
      </c>
      <c r="L21" t="s">
        <v>32</v>
      </c>
      <c r="M21" t="s">
        <v>36</v>
      </c>
    </row>
    <row r="22" spans="1:13" x14ac:dyDescent="0.25">
      <c r="A22">
        <v>1763</v>
      </c>
      <c r="B22" s="2">
        <v>44686</v>
      </c>
      <c r="C22" t="s">
        <v>13</v>
      </c>
      <c r="D22" t="s">
        <v>23</v>
      </c>
      <c r="E22" t="s">
        <v>24</v>
      </c>
      <c r="F22" t="s">
        <v>30</v>
      </c>
      <c r="G22">
        <v>2</v>
      </c>
      <c r="H22">
        <v>185</v>
      </c>
      <c r="J22">
        <v>370</v>
      </c>
      <c r="K22">
        <v>43.655349666898367</v>
      </c>
      <c r="L22" t="s">
        <v>32</v>
      </c>
      <c r="M22" t="s">
        <v>34</v>
      </c>
    </row>
    <row r="23" spans="1:13" x14ac:dyDescent="0.25">
      <c r="A23">
        <v>1614</v>
      </c>
      <c r="B23" s="2">
        <v>44570</v>
      </c>
      <c r="C23" t="s">
        <v>14</v>
      </c>
      <c r="D23" t="s">
        <v>23</v>
      </c>
      <c r="E23" t="s">
        <v>24</v>
      </c>
      <c r="F23" t="s">
        <v>30</v>
      </c>
      <c r="G23">
        <v>9</v>
      </c>
      <c r="H23">
        <v>325</v>
      </c>
      <c r="I23">
        <v>0.1</v>
      </c>
      <c r="J23">
        <v>2632.5</v>
      </c>
      <c r="K23">
        <v>609.72761625874625</v>
      </c>
      <c r="L23" t="s">
        <v>32</v>
      </c>
      <c r="M23" t="s">
        <v>36</v>
      </c>
    </row>
    <row r="24" spans="1:13" x14ac:dyDescent="0.25">
      <c r="A24">
        <v>1921</v>
      </c>
      <c r="B24" s="2">
        <v>44684</v>
      </c>
      <c r="C24" t="s">
        <v>14</v>
      </c>
      <c r="D24" t="s">
        <v>23</v>
      </c>
      <c r="E24" t="s">
        <v>24</v>
      </c>
      <c r="F24" t="s">
        <v>27</v>
      </c>
      <c r="G24">
        <v>2</v>
      </c>
      <c r="H24">
        <v>247</v>
      </c>
      <c r="I24">
        <v>0</v>
      </c>
      <c r="J24">
        <v>494</v>
      </c>
      <c r="K24">
        <v>136.622440694348</v>
      </c>
      <c r="L24" t="s">
        <v>32</v>
      </c>
      <c r="M24" t="s">
        <v>34</v>
      </c>
    </row>
    <row r="25" spans="1:13" x14ac:dyDescent="0.25">
      <c r="A25">
        <v>1563</v>
      </c>
      <c r="B25" s="2">
        <v>44833</v>
      </c>
      <c r="C25" t="s">
        <v>18</v>
      </c>
      <c r="D25" t="s">
        <v>23</v>
      </c>
      <c r="E25" t="s">
        <v>24</v>
      </c>
      <c r="F25" t="s">
        <v>29</v>
      </c>
      <c r="G25">
        <v>7</v>
      </c>
      <c r="H25">
        <v>380</v>
      </c>
      <c r="I25">
        <v>0</v>
      </c>
      <c r="J25">
        <v>2660</v>
      </c>
      <c r="K25">
        <v>248.55145943526961</v>
      </c>
      <c r="L25" t="s">
        <v>32</v>
      </c>
      <c r="M25" t="s">
        <v>35</v>
      </c>
    </row>
    <row r="26" spans="1:13" x14ac:dyDescent="0.25">
      <c r="A26">
        <v>1733</v>
      </c>
      <c r="B26" s="2">
        <v>44763</v>
      </c>
      <c r="C26" t="s">
        <v>14</v>
      </c>
      <c r="D26" t="s">
        <v>21</v>
      </c>
      <c r="E26" t="s">
        <v>25</v>
      </c>
      <c r="F26" t="s">
        <v>29</v>
      </c>
      <c r="G26">
        <v>3</v>
      </c>
      <c r="H26">
        <v>336</v>
      </c>
      <c r="I26">
        <v>0</v>
      </c>
      <c r="J26">
        <v>1008</v>
      </c>
      <c r="K26">
        <v>66.831556997644</v>
      </c>
      <c r="L26" t="s">
        <v>32</v>
      </c>
      <c r="M26" t="s">
        <v>35</v>
      </c>
    </row>
    <row r="27" spans="1:13" x14ac:dyDescent="0.25">
      <c r="A27">
        <v>1701</v>
      </c>
      <c r="B27" s="2">
        <v>44675</v>
      </c>
      <c r="C27" t="s">
        <v>14</v>
      </c>
      <c r="D27" t="s">
        <v>23</v>
      </c>
      <c r="E27" t="s">
        <v>25</v>
      </c>
      <c r="F27" t="s">
        <v>28</v>
      </c>
      <c r="G27">
        <v>7</v>
      </c>
      <c r="H27">
        <v>34</v>
      </c>
      <c r="I27">
        <v>0.3</v>
      </c>
      <c r="J27">
        <v>166.6</v>
      </c>
      <c r="K27">
        <v>13.9674975268656</v>
      </c>
      <c r="L27" t="s">
        <v>32</v>
      </c>
      <c r="M27" t="s">
        <v>35</v>
      </c>
    </row>
    <row r="28" spans="1:13" x14ac:dyDescent="0.25">
      <c r="A28">
        <v>1891</v>
      </c>
      <c r="B28" s="2">
        <v>44753</v>
      </c>
      <c r="C28" t="s">
        <v>15</v>
      </c>
      <c r="D28" t="s">
        <v>23</v>
      </c>
      <c r="E28" t="s">
        <v>24</v>
      </c>
      <c r="F28" t="s">
        <v>31</v>
      </c>
      <c r="G28">
        <v>4</v>
      </c>
      <c r="H28">
        <v>109</v>
      </c>
      <c r="I28">
        <v>0.1</v>
      </c>
      <c r="J28">
        <v>392.4</v>
      </c>
      <c r="K28">
        <v>70.571752817336261</v>
      </c>
      <c r="L28" t="s">
        <v>32</v>
      </c>
      <c r="M28" t="s">
        <v>35</v>
      </c>
    </row>
    <row r="29" spans="1:13" x14ac:dyDescent="0.25">
      <c r="A29">
        <v>1130</v>
      </c>
      <c r="B29" s="2">
        <v>44581</v>
      </c>
      <c r="C29" t="s">
        <v>16</v>
      </c>
      <c r="D29" t="s">
        <v>22</v>
      </c>
      <c r="E29" t="s">
        <v>26</v>
      </c>
      <c r="F29" t="s">
        <v>28</v>
      </c>
      <c r="G29">
        <v>5</v>
      </c>
      <c r="H29">
        <v>479</v>
      </c>
      <c r="I29">
        <v>0.2</v>
      </c>
      <c r="J29">
        <v>1916</v>
      </c>
      <c r="K29">
        <v>471.23626476850518</v>
      </c>
      <c r="L29" t="s">
        <v>32</v>
      </c>
      <c r="M29" t="s">
        <v>34</v>
      </c>
    </row>
    <row r="30" spans="1:13" x14ac:dyDescent="0.25">
      <c r="A30">
        <v>1455</v>
      </c>
      <c r="B30" s="2">
        <v>44811</v>
      </c>
      <c r="C30" t="s">
        <v>18</v>
      </c>
      <c r="D30" t="s">
        <v>23</v>
      </c>
      <c r="E30" t="s">
        <v>24</v>
      </c>
      <c r="F30" t="s">
        <v>28</v>
      </c>
      <c r="G30">
        <v>8</v>
      </c>
      <c r="H30">
        <v>141</v>
      </c>
      <c r="I30">
        <v>0.1</v>
      </c>
      <c r="J30">
        <v>1015.2</v>
      </c>
      <c r="K30">
        <v>159.25688279425211</v>
      </c>
      <c r="L30" t="s">
        <v>32</v>
      </c>
      <c r="M30" t="s">
        <v>34</v>
      </c>
    </row>
    <row r="31" spans="1:13" x14ac:dyDescent="0.25">
      <c r="A31">
        <v>1563</v>
      </c>
      <c r="B31" s="2">
        <v>44760</v>
      </c>
      <c r="C31" t="s">
        <v>19</v>
      </c>
      <c r="D31" t="s">
        <v>20</v>
      </c>
      <c r="E31" t="s">
        <v>25</v>
      </c>
      <c r="F31" t="s">
        <v>29</v>
      </c>
      <c r="G31">
        <v>9</v>
      </c>
      <c r="H31">
        <v>324</v>
      </c>
      <c r="J31">
        <v>2916</v>
      </c>
      <c r="K31">
        <v>863.85745932669795</v>
      </c>
      <c r="L31" t="s">
        <v>32</v>
      </c>
      <c r="M31" t="s">
        <v>34</v>
      </c>
    </row>
    <row r="32" spans="1:13" x14ac:dyDescent="0.25">
      <c r="A32">
        <v>1683</v>
      </c>
      <c r="B32" s="2">
        <v>44729</v>
      </c>
      <c r="C32" t="s">
        <v>16</v>
      </c>
      <c r="D32" t="s">
        <v>22</v>
      </c>
      <c r="E32" t="s">
        <v>25</v>
      </c>
      <c r="F32" t="s">
        <v>28</v>
      </c>
      <c r="G32">
        <v>3</v>
      </c>
      <c r="H32">
        <v>105</v>
      </c>
      <c r="I32">
        <v>0</v>
      </c>
      <c r="J32">
        <v>315</v>
      </c>
      <c r="K32">
        <v>71.492013906844278</v>
      </c>
      <c r="L32" t="s">
        <v>32</v>
      </c>
      <c r="M32" t="s">
        <v>36</v>
      </c>
    </row>
    <row r="33" spans="1:13" x14ac:dyDescent="0.25">
      <c r="A33">
        <v>1681</v>
      </c>
      <c r="B33" s="2">
        <v>44780</v>
      </c>
      <c r="C33" t="s">
        <v>19</v>
      </c>
      <c r="D33" t="s">
        <v>20</v>
      </c>
      <c r="E33" t="s">
        <v>25</v>
      </c>
      <c r="F33" t="s">
        <v>31</v>
      </c>
      <c r="G33">
        <v>3</v>
      </c>
      <c r="H33">
        <v>337</v>
      </c>
      <c r="I33">
        <v>0</v>
      </c>
      <c r="J33">
        <v>1011</v>
      </c>
      <c r="K33">
        <v>252.22280384291719</v>
      </c>
      <c r="L33" t="s">
        <v>33</v>
      </c>
      <c r="M33" t="s">
        <v>35</v>
      </c>
    </row>
    <row r="34" spans="1:13" x14ac:dyDescent="0.25">
      <c r="A34">
        <v>1102</v>
      </c>
      <c r="B34" s="2">
        <v>44562</v>
      </c>
      <c r="C34" t="s">
        <v>14</v>
      </c>
      <c r="D34" t="s">
        <v>22</v>
      </c>
      <c r="E34" t="s">
        <v>25</v>
      </c>
      <c r="F34" t="s">
        <v>30</v>
      </c>
      <c r="G34">
        <v>7</v>
      </c>
      <c r="H34">
        <v>420</v>
      </c>
      <c r="I34">
        <v>0.3</v>
      </c>
      <c r="J34">
        <v>2058</v>
      </c>
      <c r="K34">
        <v>457.33148790477162</v>
      </c>
      <c r="L34" t="s">
        <v>32</v>
      </c>
      <c r="M34" t="s">
        <v>35</v>
      </c>
    </row>
    <row r="35" spans="1:13" x14ac:dyDescent="0.25">
      <c r="A35">
        <v>1386</v>
      </c>
      <c r="B35" s="2">
        <v>44838</v>
      </c>
      <c r="C35" t="s">
        <v>14</v>
      </c>
      <c r="D35" t="s">
        <v>22</v>
      </c>
      <c r="E35" t="s">
        <v>24</v>
      </c>
      <c r="F35" t="s">
        <v>30</v>
      </c>
      <c r="G35">
        <v>2</v>
      </c>
      <c r="H35">
        <v>262</v>
      </c>
      <c r="I35">
        <v>0.1</v>
      </c>
      <c r="J35">
        <v>471.6</v>
      </c>
      <c r="K35">
        <v>40.318497592821181</v>
      </c>
      <c r="L35" t="s">
        <v>32</v>
      </c>
      <c r="M35" t="s">
        <v>35</v>
      </c>
    </row>
    <row r="36" spans="1:13" x14ac:dyDescent="0.25">
      <c r="A36">
        <v>1112</v>
      </c>
      <c r="B36" s="2">
        <v>44829</v>
      </c>
      <c r="C36" t="s">
        <v>15</v>
      </c>
      <c r="D36" t="s">
        <v>20</v>
      </c>
      <c r="E36" t="s">
        <v>24</v>
      </c>
      <c r="F36" t="s">
        <v>30</v>
      </c>
      <c r="G36">
        <v>7</v>
      </c>
      <c r="H36">
        <v>169</v>
      </c>
      <c r="I36">
        <v>0.1</v>
      </c>
      <c r="J36">
        <v>1064.7</v>
      </c>
      <c r="K36">
        <v>148.47195327299951</v>
      </c>
      <c r="L36" t="s">
        <v>32</v>
      </c>
      <c r="M36" t="s">
        <v>34</v>
      </c>
    </row>
    <row r="37" spans="1:13" x14ac:dyDescent="0.25">
      <c r="A37">
        <v>1955</v>
      </c>
      <c r="B37" s="2">
        <v>44591</v>
      </c>
      <c r="C37" t="s">
        <v>16</v>
      </c>
      <c r="D37" t="s">
        <v>20</v>
      </c>
      <c r="E37" t="s">
        <v>26</v>
      </c>
      <c r="F37" t="s">
        <v>31</v>
      </c>
      <c r="G37">
        <v>5</v>
      </c>
      <c r="H37">
        <v>478</v>
      </c>
      <c r="I37">
        <v>0.1</v>
      </c>
      <c r="J37">
        <v>2151</v>
      </c>
      <c r="K37">
        <v>187.6145490662721</v>
      </c>
      <c r="L37" t="s">
        <v>32</v>
      </c>
      <c r="M37" t="s">
        <v>36</v>
      </c>
    </row>
    <row r="38" spans="1:13" x14ac:dyDescent="0.25">
      <c r="A38">
        <v>1560</v>
      </c>
      <c r="B38" s="2">
        <v>44600</v>
      </c>
      <c r="C38" t="s">
        <v>18</v>
      </c>
      <c r="D38" t="s">
        <v>23</v>
      </c>
      <c r="E38" t="s">
        <v>26</v>
      </c>
      <c r="F38" t="s">
        <v>29</v>
      </c>
      <c r="G38">
        <v>7</v>
      </c>
      <c r="H38">
        <v>118</v>
      </c>
      <c r="I38">
        <v>0.1</v>
      </c>
      <c r="J38">
        <v>743.4</v>
      </c>
      <c r="K38">
        <v>109.9350510063496</v>
      </c>
      <c r="L38" t="s">
        <v>32</v>
      </c>
      <c r="M38" t="s">
        <v>34</v>
      </c>
    </row>
    <row r="39" spans="1:13" x14ac:dyDescent="0.25">
      <c r="A39">
        <v>1230</v>
      </c>
      <c r="B39" s="2">
        <v>44766</v>
      </c>
      <c r="C39" t="s">
        <v>16</v>
      </c>
      <c r="D39" t="s">
        <v>21</v>
      </c>
      <c r="E39" t="s">
        <v>25</v>
      </c>
      <c r="F39" t="s">
        <v>27</v>
      </c>
      <c r="G39">
        <v>5</v>
      </c>
      <c r="H39">
        <v>409</v>
      </c>
      <c r="I39">
        <v>0.1</v>
      </c>
      <c r="J39">
        <v>1840.5</v>
      </c>
      <c r="K39">
        <v>339.89516478299259</v>
      </c>
      <c r="L39" t="s">
        <v>32</v>
      </c>
      <c r="M39" t="s">
        <v>35</v>
      </c>
    </row>
    <row r="40" spans="1:13" x14ac:dyDescent="0.25">
      <c r="A40">
        <v>1201</v>
      </c>
      <c r="B40" s="2">
        <v>44664</v>
      </c>
      <c r="C40" t="s">
        <v>16</v>
      </c>
      <c r="D40" t="s">
        <v>21</v>
      </c>
      <c r="E40" t="s">
        <v>26</v>
      </c>
      <c r="F40" t="s">
        <v>28</v>
      </c>
      <c r="G40">
        <v>7</v>
      </c>
      <c r="H40">
        <v>406</v>
      </c>
      <c r="J40">
        <v>2842</v>
      </c>
      <c r="K40">
        <v>467.64178302727271</v>
      </c>
      <c r="L40" t="s">
        <v>32</v>
      </c>
      <c r="M40" t="s">
        <v>36</v>
      </c>
    </row>
    <row r="41" spans="1:13" x14ac:dyDescent="0.25">
      <c r="A41">
        <v>1205</v>
      </c>
      <c r="B41" s="2">
        <v>44646</v>
      </c>
      <c r="C41" t="s">
        <v>15</v>
      </c>
      <c r="D41" t="s">
        <v>20</v>
      </c>
      <c r="E41" t="s">
        <v>26</v>
      </c>
      <c r="F41" t="s">
        <v>28</v>
      </c>
      <c r="G41">
        <v>3</v>
      </c>
      <c r="H41">
        <v>31</v>
      </c>
      <c r="I41">
        <v>0.1</v>
      </c>
      <c r="J41">
        <v>83.7</v>
      </c>
      <c r="K41">
        <v>16.15142727542888</v>
      </c>
      <c r="L41" t="s">
        <v>32</v>
      </c>
      <c r="M41" t="s">
        <v>36</v>
      </c>
    </row>
    <row r="42" spans="1:13" x14ac:dyDescent="0.25">
      <c r="A42">
        <v>1748</v>
      </c>
      <c r="B42" s="2">
        <v>44767</v>
      </c>
      <c r="C42" t="s">
        <v>17</v>
      </c>
      <c r="D42" t="s">
        <v>20</v>
      </c>
      <c r="E42" t="s">
        <v>26</v>
      </c>
      <c r="F42" t="s">
        <v>30</v>
      </c>
      <c r="G42">
        <v>5</v>
      </c>
      <c r="H42">
        <v>28</v>
      </c>
      <c r="J42">
        <v>140</v>
      </c>
      <c r="K42">
        <v>24.42343778120016</v>
      </c>
      <c r="L42" t="s">
        <v>32</v>
      </c>
      <c r="M42" t="s">
        <v>34</v>
      </c>
    </row>
    <row r="43" spans="1:13" x14ac:dyDescent="0.25">
      <c r="A43">
        <v>1001</v>
      </c>
      <c r="B43" s="2">
        <v>44652</v>
      </c>
      <c r="C43" t="s">
        <v>14</v>
      </c>
      <c r="D43" t="s">
        <v>22</v>
      </c>
      <c r="E43" t="s">
        <v>26</v>
      </c>
      <c r="F43" t="s">
        <v>31</v>
      </c>
      <c r="G43">
        <v>3</v>
      </c>
      <c r="H43">
        <v>79</v>
      </c>
      <c r="I43">
        <v>0</v>
      </c>
      <c r="J43">
        <v>237</v>
      </c>
      <c r="K43">
        <v>13.283362010562801</v>
      </c>
      <c r="L43" t="s">
        <v>32</v>
      </c>
      <c r="M43" t="s">
        <v>35</v>
      </c>
    </row>
    <row r="44" spans="1:13" x14ac:dyDescent="0.25">
      <c r="A44">
        <v>1600</v>
      </c>
      <c r="B44" s="2">
        <v>44628</v>
      </c>
      <c r="C44" t="s">
        <v>15</v>
      </c>
      <c r="D44" t="s">
        <v>22</v>
      </c>
      <c r="E44" t="s">
        <v>26</v>
      </c>
      <c r="F44" t="s">
        <v>27</v>
      </c>
      <c r="G44">
        <v>3</v>
      </c>
      <c r="H44">
        <v>462</v>
      </c>
      <c r="I44">
        <v>0</v>
      </c>
      <c r="J44">
        <v>1386</v>
      </c>
      <c r="K44">
        <v>221.82895279157739</v>
      </c>
      <c r="L44" t="s">
        <v>32</v>
      </c>
      <c r="M44" t="s">
        <v>35</v>
      </c>
    </row>
    <row r="45" spans="1:13" x14ac:dyDescent="0.25">
      <c r="A45">
        <v>1441</v>
      </c>
      <c r="B45" s="2">
        <v>44832</v>
      </c>
      <c r="C45" t="s">
        <v>15</v>
      </c>
      <c r="D45" t="s">
        <v>20</v>
      </c>
      <c r="E45" t="s">
        <v>24</v>
      </c>
      <c r="F45" t="s">
        <v>31</v>
      </c>
      <c r="G45">
        <v>3</v>
      </c>
      <c r="H45">
        <v>331</v>
      </c>
      <c r="I45">
        <v>0.1</v>
      </c>
      <c r="J45">
        <v>893.7</v>
      </c>
      <c r="K45">
        <v>119.5788579838372</v>
      </c>
      <c r="L45" t="s">
        <v>32</v>
      </c>
      <c r="M45" t="s">
        <v>34</v>
      </c>
    </row>
    <row r="46" spans="1:13" x14ac:dyDescent="0.25">
      <c r="A46">
        <v>1974</v>
      </c>
      <c r="B46" s="2">
        <v>44821</v>
      </c>
      <c r="C46" t="s">
        <v>17</v>
      </c>
      <c r="D46" t="s">
        <v>20</v>
      </c>
      <c r="E46" t="s">
        <v>24</v>
      </c>
      <c r="F46" t="s">
        <v>30</v>
      </c>
      <c r="G46">
        <v>3</v>
      </c>
      <c r="H46">
        <v>202</v>
      </c>
      <c r="I46">
        <v>0.2</v>
      </c>
      <c r="J46">
        <v>484.8</v>
      </c>
      <c r="K46">
        <v>128.25105884264829</v>
      </c>
      <c r="L46" t="s">
        <v>32</v>
      </c>
      <c r="M46" t="s">
        <v>36</v>
      </c>
    </row>
    <row r="47" spans="1:13" x14ac:dyDescent="0.25">
      <c r="A47">
        <v>1313</v>
      </c>
      <c r="B47" s="2">
        <v>44595</v>
      </c>
      <c r="C47" t="s">
        <v>17</v>
      </c>
      <c r="D47" t="s">
        <v>21</v>
      </c>
      <c r="E47" t="s">
        <v>24</v>
      </c>
      <c r="F47" t="s">
        <v>30</v>
      </c>
      <c r="G47">
        <v>6</v>
      </c>
      <c r="H47">
        <v>449</v>
      </c>
      <c r="I47">
        <v>0</v>
      </c>
      <c r="J47">
        <v>2694</v>
      </c>
      <c r="K47">
        <v>382.75646879636241</v>
      </c>
      <c r="L47" t="s">
        <v>32</v>
      </c>
      <c r="M47" t="s">
        <v>36</v>
      </c>
    </row>
    <row r="48" spans="1:13" x14ac:dyDescent="0.25">
      <c r="A48">
        <v>1553</v>
      </c>
      <c r="B48" s="2">
        <v>44752</v>
      </c>
      <c r="C48" t="s">
        <v>18</v>
      </c>
      <c r="D48" t="s">
        <v>22</v>
      </c>
      <c r="E48" t="s">
        <v>26</v>
      </c>
      <c r="F48" t="s">
        <v>28</v>
      </c>
      <c r="G48">
        <v>4</v>
      </c>
      <c r="H48">
        <v>378</v>
      </c>
      <c r="I48">
        <v>0.1</v>
      </c>
      <c r="J48">
        <v>1360.8</v>
      </c>
      <c r="K48">
        <v>325.48686223527358</v>
      </c>
      <c r="L48" t="s">
        <v>32</v>
      </c>
      <c r="M48" t="s">
        <v>34</v>
      </c>
    </row>
    <row r="49" spans="1:13" x14ac:dyDescent="0.25">
      <c r="A49">
        <v>1492</v>
      </c>
      <c r="B49" s="2">
        <v>44689</v>
      </c>
      <c r="C49" t="s">
        <v>19</v>
      </c>
      <c r="D49" t="s">
        <v>21</v>
      </c>
      <c r="E49" t="s">
        <v>24</v>
      </c>
      <c r="F49" t="s">
        <v>31</v>
      </c>
      <c r="G49">
        <v>3</v>
      </c>
      <c r="H49">
        <v>338</v>
      </c>
      <c r="I49">
        <v>0.1</v>
      </c>
      <c r="J49">
        <v>912.6</v>
      </c>
      <c r="K49">
        <v>222.83651356932461</v>
      </c>
      <c r="L49" t="s">
        <v>32</v>
      </c>
      <c r="M49" t="s">
        <v>34</v>
      </c>
    </row>
    <row r="50" spans="1:13" x14ac:dyDescent="0.25">
      <c r="A50">
        <v>1683</v>
      </c>
      <c r="B50" s="2">
        <v>44819</v>
      </c>
      <c r="C50" t="s">
        <v>13</v>
      </c>
      <c r="D50" t="s">
        <v>21</v>
      </c>
      <c r="E50" t="s">
        <v>26</v>
      </c>
      <c r="F50" t="s">
        <v>28</v>
      </c>
      <c r="G50">
        <v>6</v>
      </c>
      <c r="H50">
        <v>138</v>
      </c>
      <c r="J50">
        <v>828</v>
      </c>
      <c r="K50">
        <v>192.819773500455</v>
      </c>
      <c r="L50" t="s">
        <v>32</v>
      </c>
      <c r="M50" t="s">
        <v>34</v>
      </c>
    </row>
    <row r="51" spans="1:13" x14ac:dyDescent="0.25">
      <c r="A51">
        <v>1489</v>
      </c>
      <c r="B51" s="2">
        <v>44712</v>
      </c>
      <c r="C51" t="s">
        <v>17</v>
      </c>
      <c r="D51" t="s">
        <v>21</v>
      </c>
      <c r="E51" t="s">
        <v>24</v>
      </c>
      <c r="F51" t="s">
        <v>27</v>
      </c>
      <c r="G51">
        <v>2</v>
      </c>
      <c r="H51">
        <v>308</v>
      </c>
      <c r="I51">
        <v>0</v>
      </c>
      <c r="J51">
        <v>616</v>
      </c>
      <c r="K51">
        <v>61.307035444999983</v>
      </c>
      <c r="L51" t="s">
        <v>32</v>
      </c>
      <c r="M51" t="s">
        <v>36</v>
      </c>
    </row>
    <row r="52" spans="1:13" x14ac:dyDescent="0.25">
      <c r="A52">
        <v>1840</v>
      </c>
      <c r="B52" s="2">
        <v>44624</v>
      </c>
      <c r="C52" t="s">
        <v>19</v>
      </c>
      <c r="D52" t="s">
        <v>21</v>
      </c>
      <c r="E52" t="s">
        <v>26</v>
      </c>
      <c r="F52" t="s">
        <v>29</v>
      </c>
      <c r="G52">
        <v>8</v>
      </c>
      <c r="H52">
        <v>40</v>
      </c>
      <c r="I52">
        <v>0.3</v>
      </c>
      <c r="J52">
        <v>224</v>
      </c>
      <c r="K52">
        <v>55.154230718242182</v>
      </c>
      <c r="L52" t="s">
        <v>32</v>
      </c>
      <c r="M52" t="s">
        <v>36</v>
      </c>
    </row>
    <row r="53" spans="1:13" x14ac:dyDescent="0.25">
      <c r="A53">
        <v>1387</v>
      </c>
      <c r="B53" s="2">
        <v>44627</v>
      </c>
      <c r="C53" t="s">
        <v>15</v>
      </c>
      <c r="D53" t="s">
        <v>20</v>
      </c>
      <c r="E53" t="s">
        <v>26</v>
      </c>
      <c r="F53" t="s">
        <v>29</v>
      </c>
      <c r="G53">
        <v>4</v>
      </c>
      <c r="H53">
        <v>376</v>
      </c>
      <c r="I53">
        <v>0</v>
      </c>
      <c r="J53">
        <v>1504</v>
      </c>
      <c r="K53">
        <v>269.69316522204508</v>
      </c>
      <c r="L53" t="s">
        <v>32</v>
      </c>
      <c r="M53" t="s">
        <v>35</v>
      </c>
    </row>
    <row r="54" spans="1:13" x14ac:dyDescent="0.25">
      <c r="A54">
        <v>1871</v>
      </c>
      <c r="B54" s="2">
        <v>44650</v>
      </c>
      <c r="C54" t="s">
        <v>18</v>
      </c>
      <c r="D54" t="s">
        <v>22</v>
      </c>
      <c r="E54" t="s">
        <v>24</v>
      </c>
      <c r="F54" t="s">
        <v>29</v>
      </c>
      <c r="G54">
        <v>6</v>
      </c>
      <c r="H54">
        <v>46</v>
      </c>
      <c r="I54">
        <v>0.1</v>
      </c>
      <c r="J54">
        <v>248.4</v>
      </c>
      <c r="K54">
        <v>33.193151030873977</v>
      </c>
      <c r="L54" t="s">
        <v>32</v>
      </c>
      <c r="M54" t="s">
        <v>34</v>
      </c>
    </row>
    <row r="55" spans="1:13" x14ac:dyDescent="0.25">
      <c r="A55">
        <v>1612</v>
      </c>
      <c r="B55" s="2">
        <v>44840</v>
      </c>
      <c r="C55" t="s">
        <v>15</v>
      </c>
      <c r="D55" t="s">
        <v>23</v>
      </c>
      <c r="E55" t="s">
        <v>26</v>
      </c>
      <c r="F55" t="s">
        <v>28</v>
      </c>
      <c r="G55">
        <v>2</v>
      </c>
      <c r="H55">
        <v>464</v>
      </c>
      <c r="I55">
        <v>0.3</v>
      </c>
      <c r="J55">
        <v>649.59999999999991</v>
      </c>
      <c r="K55">
        <v>105.616998974239</v>
      </c>
      <c r="L55" t="s">
        <v>32</v>
      </c>
      <c r="M55" t="s">
        <v>34</v>
      </c>
    </row>
    <row r="56" spans="1:13" x14ac:dyDescent="0.25">
      <c r="A56">
        <v>1663</v>
      </c>
      <c r="B56" s="2">
        <v>44580</v>
      </c>
      <c r="C56" t="s">
        <v>13</v>
      </c>
      <c r="D56" t="s">
        <v>21</v>
      </c>
      <c r="E56" t="s">
        <v>26</v>
      </c>
      <c r="F56" t="s">
        <v>27</v>
      </c>
      <c r="G56">
        <v>2</v>
      </c>
      <c r="H56">
        <v>400</v>
      </c>
      <c r="I56">
        <v>0.3</v>
      </c>
      <c r="J56">
        <v>560</v>
      </c>
      <c r="K56">
        <v>77.753839616003532</v>
      </c>
      <c r="L56" t="s">
        <v>33</v>
      </c>
      <c r="M56" t="s">
        <v>35</v>
      </c>
    </row>
    <row r="57" spans="1:13" x14ac:dyDescent="0.25">
      <c r="A57">
        <v>1347</v>
      </c>
      <c r="B57" s="2">
        <v>44795</v>
      </c>
      <c r="C57" t="s">
        <v>19</v>
      </c>
      <c r="D57" t="s">
        <v>20</v>
      </c>
      <c r="E57" t="s">
        <v>26</v>
      </c>
      <c r="F57" t="s">
        <v>30</v>
      </c>
      <c r="G57">
        <v>2</v>
      </c>
      <c r="H57">
        <v>402</v>
      </c>
      <c r="I57">
        <v>0.3</v>
      </c>
      <c r="J57">
        <v>562.79999999999995</v>
      </c>
      <c r="K57">
        <v>153.92435219810741</v>
      </c>
      <c r="L57" t="s">
        <v>33</v>
      </c>
      <c r="M57" t="s">
        <v>34</v>
      </c>
    </row>
    <row r="58" spans="1:13" x14ac:dyDescent="0.25">
      <c r="A58">
        <v>1441</v>
      </c>
      <c r="B58" s="2">
        <v>44832</v>
      </c>
      <c r="C58" t="s">
        <v>15</v>
      </c>
      <c r="D58" t="s">
        <v>20</v>
      </c>
      <c r="E58" t="s">
        <v>24</v>
      </c>
      <c r="F58" t="s">
        <v>31</v>
      </c>
      <c r="G58">
        <v>3</v>
      </c>
      <c r="H58">
        <v>331</v>
      </c>
      <c r="I58">
        <v>0.1</v>
      </c>
      <c r="J58">
        <v>893.7</v>
      </c>
      <c r="K58">
        <v>119.5788579838372</v>
      </c>
      <c r="L58" t="s">
        <v>32</v>
      </c>
      <c r="M58" t="s">
        <v>34</v>
      </c>
    </row>
    <row r="59" spans="1:13" x14ac:dyDescent="0.25">
      <c r="A59">
        <v>1747</v>
      </c>
      <c r="B59" s="2">
        <v>44598</v>
      </c>
      <c r="C59" t="s">
        <v>15</v>
      </c>
      <c r="D59" t="s">
        <v>21</v>
      </c>
      <c r="E59" t="s">
        <v>25</v>
      </c>
      <c r="F59" t="s">
        <v>27</v>
      </c>
      <c r="G59">
        <v>9</v>
      </c>
      <c r="H59">
        <v>23</v>
      </c>
      <c r="I59">
        <v>0</v>
      </c>
      <c r="J59">
        <v>207</v>
      </c>
      <c r="K59">
        <v>56.210631639067607</v>
      </c>
      <c r="L59" t="s">
        <v>32</v>
      </c>
      <c r="M59" t="s">
        <v>36</v>
      </c>
    </row>
    <row r="60" spans="1:13" x14ac:dyDescent="0.25">
      <c r="A60">
        <v>1648</v>
      </c>
      <c r="B60" s="2">
        <v>44813</v>
      </c>
      <c r="C60" t="s">
        <v>18</v>
      </c>
      <c r="D60" t="s">
        <v>21</v>
      </c>
      <c r="E60" t="s">
        <v>26</v>
      </c>
      <c r="F60" t="s">
        <v>31</v>
      </c>
      <c r="G60">
        <v>3</v>
      </c>
      <c r="H60">
        <v>74</v>
      </c>
      <c r="I60">
        <v>0.1</v>
      </c>
      <c r="J60">
        <v>199.8</v>
      </c>
      <c r="K60">
        <v>10.61974562278917</v>
      </c>
      <c r="L60" t="s">
        <v>32</v>
      </c>
      <c r="M60" t="s">
        <v>35</v>
      </c>
    </row>
    <row r="61" spans="1:13" x14ac:dyDescent="0.25">
      <c r="A61">
        <v>1738</v>
      </c>
      <c r="B61" s="2">
        <v>44735</v>
      </c>
      <c r="C61" t="s">
        <v>18</v>
      </c>
      <c r="D61" t="s">
        <v>21</v>
      </c>
      <c r="E61" t="s">
        <v>24</v>
      </c>
      <c r="F61" t="s">
        <v>28</v>
      </c>
      <c r="G61">
        <v>9</v>
      </c>
      <c r="H61">
        <v>435</v>
      </c>
      <c r="J61">
        <v>3915</v>
      </c>
      <c r="K61">
        <v>1121.3520613765261</v>
      </c>
      <c r="L61" t="s">
        <v>32</v>
      </c>
      <c r="M61" t="s">
        <v>35</v>
      </c>
    </row>
    <row r="62" spans="1:13" x14ac:dyDescent="0.25">
      <c r="A62">
        <v>1455</v>
      </c>
      <c r="B62" s="2">
        <v>44671</v>
      </c>
      <c r="C62" t="s">
        <v>17</v>
      </c>
      <c r="D62" t="s">
        <v>23</v>
      </c>
      <c r="E62" t="s">
        <v>26</v>
      </c>
      <c r="F62" t="s">
        <v>30</v>
      </c>
      <c r="G62">
        <v>9</v>
      </c>
      <c r="H62">
        <v>397</v>
      </c>
      <c r="J62">
        <v>3573</v>
      </c>
      <c r="K62">
        <v>830.28322524375346</v>
      </c>
      <c r="L62" t="s">
        <v>32</v>
      </c>
      <c r="M62" t="s">
        <v>34</v>
      </c>
    </row>
    <row r="63" spans="1:13" x14ac:dyDescent="0.25">
      <c r="A63">
        <v>1632</v>
      </c>
      <c r="B63" s="2">
        <v>44804</v>
      </c>
      <c r="C63" t="s">
        <v>13</v>
      </c>
      <c r="D63" t="s">
        <v>21</v>
      </c>
      <c r="E63" t="s">
        <v>26</v>
      </c>
      <c r="F63" t="s">
        <v>30</v>
      </c>
      <c r="G63">
        <v>5</v>
      </c>
      <c r="H63">
        <v>31</v>
      </c>
      <c r="I63">
        <v>0.1</v>
      </c>
      <c r="J63">
        <v>139.5</v>
      </c>
      <c r="K63">
        <v>40.703540707163569</v>
      </c>
      <c r="L63" t="s">
        <v>32</v>
      </c>
      <c r="M63" t="s">
        <v>35</v>
      </c>
    </row>
    <row r="64" spans="1:13" x14ac:dyDescent="0.25">
      <c r="A64">
        <v>1391</v>
      </c>
      <c r="B64" s="2">
        <v>44706</v>
      </c>
      <c r="C64" t="s">
        <v>15</v>
      </c>
      <c r="D64" t="s">
        <v>23</v>
      </c>
      <c r="E64" t="s">
        <v>24</v>
      </c>
      <c r="F64" t="s">
        <v>28</v>
      </c>
      <c r="G64">
        <v>9</v>
      </c>
      <c r="H64">
        <v>114</v>
      </c>
      <c r="I64">
        <v>0</v>
      </c>
      <c r="J64">
        <v>1026</v>
      </c>
      <c r="K64">
        <v>158.72048634252241</v>
      </c>
      <c r="L64" t="s">
        <v>32</v>
      </c>
      <c r="M64" t="s">
        <v>36</v>
      </c>
    </row>
    <row r="65" spans="1:13" x14ac:dyDescent="0.25">
      <c r="A65">
        <v>1520</v>
      </c>
      <c r="B65" s="2">
        <v>44697</v>
      </c>
      <c r="C65" t="s">
        <v>13</v>
      </c>
      <c r="D65" t="s">
        <v>20</v>
      </c>
      <c r="E65" t="s">
        <v>26</v>
      </c>
      <c r="F65" t="s">
        <v>31</v>
      </c>
      <c r="G65">
        <v>5</v>
      </c>
      <c r="H65">
        <v>224</v>
      </c>
      <c r="I65">
        <v>0.3</v>
      </c>
      <c r="J65">
        <v>784</v>
      </c>
      <c r="K65">
        <v>119.77473810973849</v>
      </c>
      <c r="L65" t="s">
        <v>32</v>
      </c>
      <c r="M65" t="s">
        <v>34</v>
      </c>
    </row>
    <row r="66" spans="1:13" x14ac:dyDescent="0.25">
      <c r="A66">
        <v>1166</v>
      </c>
      <c r="B66" s="2">
        <v>44625</v>
      </c>
      <c r="C66" t="s">
        <v>16</v>
      </c>
      <c r="D66" t="s">
        <v>21</v>
      </c>
      <c r="E66" t="s">
        <v>25</v>
      </c>
      <c r="F66" t="s">
        <v>31</v>
      </c>
      <c r="G66">
        <v>1</v>
      </c>
      <c r="H66">
        <v>322</v>
      </c>
      <c r="I66">
        <v>0.2</v>
      </c>
      <c r="J66">
        <v>257.60000000000002</v>
      </c>
      <c r="K66">
        <v>58.454652197314992</v>
      </c>
      <c r="L66" t="s">
        <v>32</v>
      </c>
      <c r="M66" t="s">
        <v>36</v>
      </c>
    </row>
    <row r="67" spans="1:13" x14ac:dyDescent="0.25">
      <c r="A67">
        <v>1498</v>
      </c>
      <c r="B67" s="2">
        <v>44704</v>
      </c>
      <c r="C67" t="s">
        <v>16</v>
      </c>
      <c r="D67" t="s">
        <v>22</v>
      </c>
      <c r="E67" t="s">
        <v>26</v>
      </c>
      <c r="F67" t="s">
        <v>30</v>
      </c>
      <c r="G67">
        <v>4</v>
      </c>
      <c r="H67">
        <v>357</v>
      </c>
      <c r="J67">
        <v>1428</v>
      </c>
      <c r="K67">
        <v>405.84561894581378</v>
      </c>
      <c r="L67" t="s">
        <v>32</v>
      </c>
      <c r="M67" t="s">
        <v>34</v>
      </c>
    </row>
    <row r="68" spans="1:13" x14ac:dyDescent="0.25">
      <c r="A68">
        <v>1189</v>
      </c>
      <c r="B68" s="2">
        <v>44609</v>
      </c>
      <c r="C68" t="s">
        <v>14</v>
      </c>
      <c r="D68" t="s">
        <v>22</v>
      </c>
      <c r="E68" t="s">
        <v>26</v>
      </c>
      <c r="F68" t="s">
        <v>31</v>
      </c>
      <c r="G68">
        <v>3</v>
      </c>
      <c r="H68">
        <v>307</v>
      </c>
      <c r="J68">
        <v>921</v>
      </c>
      <c r="K68">
        <v>156.79400789627999</v>
      </c>
      <c r="L68" t="s">
        <v>32</v>
      </c>
      <c r="M68" t="s">
        <v>34</v>
      </c>
    </row>
    <row r="69" spans="1:13" x14ac:dyDescent="0.25">
      <c r="A69">
        <v>1772</v>
      </c>
      <c r="B69" s="2">
        <v>44711</v>
      </c>
      <c r="C69" t="s">
        <v>19</v>
      </c>
      <c r="D69" t="s">
        <v>23</v>
      </c>
      <c r="E69" t="s">
        <v>24</v>
      </c>
      <c r="F69" t="s">
        <v>27</v>
      </c>
      <c r="G69">
        <v>3</v>
      </c>
      <c r="H69">
        <v>236</v>
      </c>
      <c r="I69">
        <v>0</v>
      </c>
      <c r="J69">
        <v>708</v>
      </c>
      <c r="K69">
        <v>151.1889044609112</v>
      </c>
      <c r="L69" t="s">
        <v>32</v>
      </c>
      <c r="M69" t="s">
        <v>34</v>
      </c>
    </row>
    <row r="70" spans="1:13" x14ac:dyDescent="0.25">
      <c r="A70">
        <v>1573</v>
      </c>
      <c r="B70" s="2">
        <v>44725</v>
      </c>
      <c r="C70" t="s">
        <v>18</v>
      </c>
      <c r="D70" t="s">
        <v>22</v>
      </c>
      <c r="E70" t="s">
        <v>25</v>
      </c>
      <c r="F70" t="s">
        <v>29</v>
      </c>
      <c r="G70">
        <v>4</v>
      </c>
      <c r="H70">
        <v>179</v>
      </c>
      <c r="I70">
        <v>0.2</v>
      </c>
      <c r="J70">
        <v>572.80000000000007</v>
      </c>
      <c r="K70">
        <v>45.074902451671953</v>
      </c>
      <c r="L70" t="s">
        <v>33</v>
      </c>
      <c r="M70" t="s">
        <v>36</v>
      </c>
    </row>
    <row r="71" spans="1:13" x14ac:dyDescent="0.25">
      <c r="A71">
        <v>1471</v>
      </c>
      <c r="B71" s="2">
        <v>44826</v>
      </c>
      <c r="C71" t="s">
        <v>14</v>
      </c>
      <c r="D71" t="s">
        <v>21</v>
      </c>
      <c r="E71" t="s">
        <v>25</v>
      </c>
      <c r="F71" t="s">
        <v>29</v>
      </c>
      <c r="G71">
        <v>5</v>
      </c>
      <c r="H71">
        <v>473</v>
      </c>
      <c r="I71">
        <v>0.1</v>
      </c>
      <c r="J71">
        <v>2128.5</v>
      </c>
      <c r="K71">
        <v>357.14521821962398</v>
      </c>
      <c r="L71" t="s">
        <v>32</v>
      </c>
      <c r="M71" t="s">
        <v>36</v>
      </c>
    </row>
    <row r="72" spans="1:13" x14ac:dyDescent="0.25">
      <c r="A72">
        <v>1330</v>
      </c>
      <c r="B72" s="2">
        <v>44792</v>
      </c>
      <c r="C72" t="s">
        <v>13</v>
      </c>
      <c r="D72" t="s">
        <v>22</v>
      </c>
      <c r="E72" t="s">
        <v>24</v>
      </c>
      <c r="F72" t="s">
        <v>30</v>
      </c>
      <c r="G72">
        <v>9</v>
      </c>
      <c r="H72">
        <v>333</v>
      </c>
      <c r="I72">
        <v>0.3</v>
      </c>
      <c r="J72">
        <v>2097.9</v>
      </c>
      <c r="K72">
        <v>178.69467867337261</v>
      </c>
      <c r="L72" t="s">
        <v>32</v>
      </c>
      <c r="M72" t="s">
        <v>36</v>
      </c>
    </row>
    <row r="73" spans="1:13" x14ac:dyDescent="0.25">
      <c r="A73">
        <v>1683</v>
      </c>
      <c r="B73" s="2">
        <v>44859</v>
      </c>
      <c r="C73" t="s">
        <v>14</v>
      </c>
      <c r="D73" t="s">
        <v>21</v>
      </c>
      <c r="E73" t="s">
        <v>25</v>
      </c>
      <c r="F73" t="s">
        <v>28</v>
      </c>
      <c r="G73">
        <v>4</v>
      </c>
      <c r="H73">
        <v>383</v>
      </c>
      <c r="I73">
        <v>0.2</v>
      </c>
      <c r="J73">
        <v>1225.5999999999999</v>
      </c>
      <c r="K73">
        <v>258.25901724198809</v>
      </c>
      <c r="L73" t="s">
        <v>32</v>
      </c>
      <c r="M73" t="s">
        <v>34</v>
      </c>
    </row>
    <row r="74" spans="1:13" x14ac:dyDescent="0.25">
      <c r="A74">
        <v>1040</v>
      </c>
      <c r="B74" s="2">
        <v>44690</v>
      </c>
      <c r="C74" t="s">
        <v>13</v>
      </c>
      <c r="D74" t="s">
        <v>22</v>
      </c>
      <c r="E74" t="s">
        <v>25</v>
      </c>
      <c r="F74" t="s">
        <v>27</v>
      </c>
      <c r="G74">
        <v>2</v>
      </c>
      <c r="H74">
        <v>233</v>
      </c>
      <c r="I74">
        <v>0.2</v>
      </c>
      <c r="J74">
        <v>372.8</v>
      </c>
      <c r="K74">
        <v>24.732125885000709</v>
      </c>
      <c r="L74" t="s">
        <v>32</v>
      </c>
      <c r="M74" t="s">
        <v>35</v>
      </c>
    </row>
    <row r="75" spans="1:13" x14ac:dyDescent="0.25">
      <c r="A75">
        <v>1230</v>
      </c>
      <c r="B75" s="2">
        <v>44713</v>
      </c>
      <c r="C75" t="s">
        <v>16</v>
      </c>
      <c r="D75" t="s">
        <v>22</v>
      </c>
      <c r="E75" t="s">
        <v>26</v>
      </c>
      <c r="F75" t="s">
        <v>29</v>
      </c>
      <c r="G75">
        <v>7</v>
      </c>
      <c r="H75">
        <v>121</v>
      </c>
      <c r="I75">
        <v>0</v>
      </c>
      <c r="J75">
        <v>847</v>
      </c>
      <c r="K75">
        <v>162.05868140553841</v>
      </c>
      <c r="L75" t="s">
        <v>32</v>
      </c>
      <c r="M75" t="s">
        <v>36</v>
      </c>
    </row>
    <row r="76" spans="1:13" x14ac:dyDescent="0.25">
      <c r="A76">
        <v>1691</v>
      </c>
      <c r="B76" s="2">
        <v>44828</v>
      </c>
      <c r="C76" t="s">
        <v>17</v>
      </c>
      <c r="D76" t="s">
        <v>21</v>
      </c>
      <c r="E76" t="s">
        <v>25</v>
      </c>
      <c r="F76" t="s">
        <v>30</v>
      </c>
      <c r="G76">
        <v>6</v>
      </c>
      <c r="H76">
        <v>230</v>
      </c>
      <c r="I76">
        <v>0.1</v>
      </c>
      <c r="J76">
        <v>1242</v>
      </c>
      <c r="K76">
        <v>204.70184372228289</v>
      </c>
      <c r="L76" t="s">
        <v>32</v>
      </c>
      <c r="M76" t="s">
        <v>34</v>
      </c>
    </row>
    <row r="77" spans="1:13" x14ac:dyDescent="0.25">
      <c r="A77">
        <v>1401</v>
      </c>
      <c r="B77" s="2">
        <v>44660</v>
      </c>
      <c r="C77" t="s">
        <v>14</v>
      </c>
      <c r="D77" t="s">
        <v>23</v>
      </c>
      <c r="E77" t="s">
        <v>24</v>
      </c>
      <c r="F77" t="s">
        <v>31</v>
      </c>
      <c r="G77">
        <v>3</v>
      </c>
      <c r="H77">
        <v>46</v>
      </c>
      <c r="I77">
        <v>0.2</v>
      </c>
      <c r="J77">
        <v>110.4</v>
      </c>
      <c r="K77">
        <v>29.607354913375019</v>
      </c>
      <c r="L77" t="s">
        <v>32</v>
      </c>
      <c r="M77" t="s">
        <v>35</v>
      </c>
    </row>
    <row r="78" spans="1:13" x14ac:dyDescent="0.25">
      <c r="A78">
        <v>1242</v>
      </c>
      <c r="B78" s="2">
        <v>44776</v>
      </c>
      <c r="C78" t="s">
        <v>15</v>
      </c>
      <c r="D78" t="s">
        <v>23</v>
      </c>
      <c r="E78" t="s">
        <v>25</v>
      </c>
      <c r="F78" t="s">
        <v>29</v>
      </c>
      <c r="G78">
        <v>2</v>
      </c>
      <c r="H78">
        <v>283</v>
      </c>
      <c r="J78">
        <v>566</v>
      </c>
      <c r="K78">
        <v>68.930021068967434</v>
      </c>
      <c r="L78" t="s">
        <v>33</v>
      </c>
      <c r="M78" t="s">
        <v>36</v>
      </c>
    </row>
    <row r="79" spans="1:13" x14ac:dyDescent="0.25">
      <c r="A79">
        <v>1106</v>
      </c>
      <c r="B79" s="2">
        <v>44566</v>
      </c>
      <c r="C79" t="s">
        <v>16</v>
      </c>
      <c r="D79" t="s">
        <v>20</v>
      </c>
      <c r="E79" t="s">
        <v>24</v>
      </c>
      <c r="F79" t="s">
        <v>27</v>
      </c>
      <c r="G79">
        <v>1</v>
      </c>
      <c r="H79">
        <v>41</v>
      </c>
      <c r="I79">
        <v>0</v>
      </c>
      <c r="J79">
        <v>41</v>
      </c>
      <c r="K79">
        <v>3.690734258284373</v>
      </c>
      <c r="L79" t="s">
        <v>32</v>
      </c>
      <c r="M79" t="s">
        <v>35</v>
      </c>
    </row>
    <row r="80" spans="1:13" x14ac:dyDescent="0.25">
      <c r="A80">
        <v>1047</v>
      </c>
      <c r="B80" s="2">
        <v>44722</v>
      </c>
      <c r="C80" t="s">
        <v>16</v>
      </c>
      <c r="D80" t="s">
        <v>23</v>
      </c>
      <c r="E80" t="s">
        <v>26</v>
      </c>
      <c r="F80" t="s">
        <v>28</v>
      </c>
      <c r="G80">
        <v>9</v>
      </c>
      <c r="H80">
        <v>95</v>
      </c>
      <c r="I80">
        <v>0.1</v>
      </c>
      <c r="J80">
        <v>769.5</v>
      </c>
      <c r="K80">
        <v>202.11226412718889</v>
      </c>
      <c r="L80" t="s">
        <v>32</v>
      </c>
      <c r="M80" t="s">
        <v>34</v>
      </c>
    </row>
    <row r="81" spans="1:13" x14ac:dyDescent="0.25">
      <c r="A81">
        <v>1505</v>
      </c>
      <c r="B81" s="2">
        <v>44794</v>
      </c>
      <c r="C81" t="s">
        <v>15</v>
      </c>
      <c r="D81" t="s">
        <v>23</v>
      </c>
      <c r="E81" t="s">
        <v>25</v>
      </c>
      <c r="F81" t="s">
        <v>28</v>
      </c>
      <c r="G81">
        <v>9</v>
      </c>
      <c r="H81">
        <v>429</v>
      </c>
      <c r="J81">
        <v>3861</v>
      </c>
      <c r="K81">
        <v>370.87302607450471</v>
      </c>
      <c r="L81" t="s">
        <v>32</v>
      </c>
      <c r="M81" t="s">
        <v>34</v>
      </c>
    </row>
    <row r="82" spans="1:13" x14ac:dyDescent="0.25">
      <c r="A82">
        <v>1663</v>
      </c>
      <c r="B82" s="2">
        <v>44820</v>
      </c>
      <c r="C82" t="s">
        <v>18</v>
      </c>
      <c r="D82" t="s">
        <v>23</v>
      </c>
      <c r="E82" t="s">
        <v>26</v>
      </c>
      <c r="F82" t="s">
        <v>27</v>
      </c>
      <c r="G82">
        <v>8</v>
      </c>
      <c r="H82">
        <v>328</v>
      </c>
      <c r="I82">
        <v>0.1</v>
      </c>
      <c r="J82">
        <v>2361.6</v>
      </c>
      <c r="K82">
        <v>228.72801179521261</v>
      </c>
      <c r="L82" t="s">
        <v>32</v>
      </c>
      <c r="M82" t="s">
        <v>34</v>
      </c>
    </row>
    <row r="83" spans="1:13" x14ac:dyDescent="0.25">
      <c r="A83">
        <v>1001</v>
      </c>
      <c r="B83" s="2">
        <v>44846</v>
      </c>
      <c r="C83" t="s">
        <v>17</v>
      </c>
      <c r="D83" t="s">
        <v>23</v>
      </c>
      <c r="E83" t="s">
        <v>24</v>
      </c>
      <c r="F83" t="s">
        <v>31</v>
      </c>
      <c r="G83">
        <v>8</v>
      </c>
      <c r="H83">
        <v>410</v>
      </c>
      <c r="I83">
        <v>0.3</v>
      </c>
      <c r="J83">
        <v>2296</v>
      </c>
      <c r="K83">
        <v>385.31883408654647</v>
      </c>
      <c r="L83" t="s">
        <v>32</v>
      </c>
      <c r="M83" t="s">
        <v>36</v>
      </c>
    </row>
    <row r="84" spans="1:13" x14ac:dyDescent="0.25">
      <c r="A84">
        <v>1159</v>
      </c>
      <c r="B84" s="2">
        <v>44773</v>
      </c>
      <c r="C84" t="s">
        <v>17</v>
      </c>
      <c r="D84" t="s">
        <v>21</v>
      </c>
      <c r="E84" t="s">
        <v>26</v>
      </c>
      <c r="F84" t="s">
        <v>28</v>
      </c>
      <c r="G84">
        <v>4</v>
      </c>
      <c r="H84">
        <v>60</v>
      </c>
      <c r="I84">
        <v>0.2</v>
      </c>
      <c r="J84">
        <v>192</v>
      </c>
      <c r="K84">
        <v>55.894879387238959</v>
      </c>
      <c r="L84" t="s">
        <v>32</v>
      </c>
      <c r="M84" t="s">
        <v>35</v>
      </c>
    </row>
    <row r="85" spans="1:13" x14ac:dyDescent="0.25">
      <c r="A85">
        <v>1955</v>
      </c>
      <c r="B85" s="2">
        <v>44639</v>
      </c>
      <c r="C85" t="s">
        <v>14</v>
      </c>
      <c r="D85" t="s">
        <v>22</v>
      </c>
      <c r="E85" t="s">
        <v>24</v>
      </c>
      <c r="F85" t="s">
        <v>30</v>
      </c>
      <c r="G85">
        <v>1</v>
      </c>
      <c r="H85">
        <v>34</v>
      </c>
      <c r="I85">
        <v>0.3</v>
      </c>
      <c r="J85">
        <v>23.8</v>
      </c>
      <c r="K85">
        <v>3.6964259170997278</v>
      </c>
      <c r="L85" t="s">
        <v>32</v>
      </c>
      <c r="M85" t="s">
        <v>36</v>
      </c>
    </row>
    <row r="86" spans="1:13" x14ac:dyDescent="0.25">
      <c r="A86">
        <v>1775</v>
      </c>
      <c r="B86" s="2">
        <v>44643</v>
      </c>
      <c r="C86" t="s">
        <v>14</v>
      </c>
      <c r="D86" t="s">
        <v>23</v>
      </c>
      <c r="E86" t="s">
        <v>24</v>
      </c>
      <c r="F86" t="s">
        <v>29</v>
      </c>
      <c r="G86">
        <v>9</v>
      </c>
      <c r="H86">
        <v>339</v>
      </c>
      <c r="J86">
        <v>3051</v>
      </c>
      <c r="K86">
        <v>465.2049546158438</v>
      </c>
      <c r="L86" t="s">
        <v>32</v>
      </c>
      <c r="M86" t="s">
        <v>34</v>
      </c>
    </row>
    <row r="87" spans="1:13" x14ac:dyDescent="0.25">
      <c r="A87">
        <v>1251</v>
      </c>
      <c r="B87" s="2">
        <v>44674</v>
      </c>
      <c r="C87" t="s">
        <v>14</v>
      </c>
      <c r="D87" t="s">
        <v>22</v>
      </c>
      <c r="E87" t="s">
        <v>25</v>
      </c>
      <c r="F87" t="s">
        <v>30</v>
      </c>
      <c r="G87">
        <v>1</v>
      </c>
      <c r="H87">
        <v>65</v>
      </c>
      <c r="I87">
        <v>0.1</v>
      </c>
      <c r="J87">
        <v>58.5</v>
      </c>
      <c r="K87">
        <v>11.849542811110499</v>
      </c>
      <c r="L87" t="s">
        <v>32</v>
      </c>
      <c r="M87" t="s">
        <v>36</v>
      </c>
    </row>
    <row r="88" spans="1:13" x14ac:dyDescent="0.25">
      <c r="A88">
        <v>1080</v>
      </c>
      <c r="B88" s="2">
        <v>44647</v>
      </c>
      <c r="C88" t="s">
        <v>19</v>
      </c>
      <c r="D88" t="s">
        <v>20</v>
      </c>
      <c r="E88" t="s">
        <v>25</v>
      </c>
      <c r="F88" t="s">
        <v>28</v>
      </c>
      <c r="G88">
        <v>2</v>
      </c>
      <c r="H88">
        <v>293</v>
      </c>
      <c r="I88">
        <v>0</v>
      </c>
      <c r="J88">
        <v>586</v>
      </c>
      <c r="K88">
        <v>115.408211366312</v>
      </c>
      <c r="L88" t="s">
        <v>32</v>
      </c>
      <c r="M88" t="s">
        <v>34</v>
      </c>
    </row>
    <row r="89" spans="1:13" x14ac:dyDescent="0.25">
      <c r="A89">
        <v>1020</v>
      </c>
      <c r="B89" s="2">
        <v>44623</v>
      </c>
      <c r="C89" t="s">
        <v>19</v>
      </c>
      <c r="D89" t="s">
        <v>22</v>
      </c>
      <c r="E89" t="s">
        <v>26</v>
      </c>
      <c r="F89" t="s">
        <v>27</v>
      </c>
      <c r="G89">
        <v>5</v>
      </c>
      <c r="H89">
        <v>496</v>
      </c>
      <c r="J89">
        <v>2480</v>
      </c>
      <c r="K89">
        <v>331.22775759155769</v>
      </c>
      <c r="L89" t="s">
        <v>32</v>
      </c>
      <c r="M89" t="s">
        <v>35</v>
      </c>
    </row>
    <row r="90" spans="1:13" x14ac:dyDescent="0.25">
      <c r="A90">
        <v>1476</v>
      </c>
      <c r="B90" s="2">
        <v>44658</v>
      </c>
      <c r="C90" t="s">
        <v>13</v>
      </c>
      <c r="D90" t="s">
        <v>22</v>
      </c>
      <c r="E90" t="s">
        <v>24</v>
      </c>
      <c r="F90" t="s">
        <v>28</v>
      </c>
      <c r="G90">
        <v>1</v>
      </c>
      <c r="H90">
        <v>27</v>
      </c>
      <c r="I90">
        <v>0</v>
      </c>
      <c r="J90">
        <v>27</v>
      </c>
      <c r="K90">
        <v>3.1002531223439731</v>
      </c>
      <c r="L90" t="s">
        <v>33</v>
      </c>
      <c r="M90" t="s">
        <v>35</v>
      </c>
    </row>
    <row r="91" spans="1:13" x14ac:dyDescent="0.25">
      <c r="A91">
        <v>1071</v>
      </c>
      <c r="B91" s="2">
        <v>44567</v>
      </c>
      <c r="C91" t="s">
        <v>16</v>
      </c>
      <c r="D91" t="s">
        <v>23</v>
      </c>
      <c r="E91" t="s">
        <v>24</v>
      </c>
      <c r="F91" t="s">
        <v>28</v>
      </c>
      <c r="G91">
        <v>9</v>
      </c>
      <c r="H91">
        <v>493</v>
      </c>
      <c r="I91">
        <v>0.3</v>
      </c>
      <c r="J91">
        <v>3105.9</v>
      </c>
      <c r="K91">
        <v>513.68283995010631</v>
      </c>
      <c r="L91" t="s">
        <v>32</v>
      </c>
      <c r="M91" t="s">
        <v>35</v>
      </c>
    </row>
    <row r="92" spans="1:13" x14ac:dyDescent="0.25">
      <c r="A92">
        <v>1013</v>
      </c>
      <c r="B92" s="2">
        <v>44630</v>
      </c>
      <c r="C92" t="s">
        <v>16</v>
      </c>
      <c r="D92" t="s">
        <v>21</v>
      </c>
      <c r="E92" t="s">
        <v>26</v>
      </c>
      <c r="F92" t="s">
        <v>29</v>
      </c>
      <c r="G92">
        <v>4</v>
      </c>
      <c r="H92">
        <v>281</v>
      </c>
      <c r="I92">
        <v>0.3</v>
      </c>
      <c r="J92">
        <v>786.8</v>
      </c>
      <c r="K92">
        <v>103.8955146349516</v>
      </c>
      <c r="L92" t="s">
        <v>32</v>
      </c>
      <c r="M92" t="s">
        <v>35</v>
      </c>
    </row>
    <row r="93" spans="1:13" x14ac:dyDescent="0.25">
      <c r="A93">
        <v>1957</v>
      </c>
      <c r="B93" s="2">
        <v>44803</v>
      </c>
      <c r="C93" t="s">
        <v>19</v>
      </c>
      <c r="D93" t="s">
        <v>22</v>
      </c>
      <c r="E93" t="s">
        <v>25</v>
      </c>
      <c r="F93" t="s">
        <v>31</v>
      </c>
      <c r="G93">
        <v>8</v>
      </c>
      <c r="H93">
        <v>485</v>
      </c>
      <c r="I93">
        <v>0.3</v>
      </c>
      <c r="J93">
        <v>2716</v>
      </c>
      <c r="K93">
        <v>478.83539925853739</v>
      </c>
      <c r="L93" t="s">
        <v>32</v>
      </c>
      <c r="M93" t="s">
        <v>34</v>
      </c>
    </row>
    <row r="94" spans="1:13" x14ac:dyDescent="0.25">
      <c r="A94">
        <v>1645</v>
      </c>
      <c r="B94" s="2">
        <v>44784</v>
      </c>
      <c r="C94" t="s">
        <v>14</v>
      </c>
      <c r="D94" t="s">
        <v>22</v>
      </c>
      <c r="E94" t="s">
        <v>24</v>
      </c>
      <c r="F94" t="s">
        <v>28</v>
      </c>
      <c r="G94">
        <v>9</v>
      </c>
      <c r="H94">
        <v>270</v>
      </c>
      <c r="I94">
        <v>0.3</v>
      </c>
      <c r="J94">
        <v>1701</v>
      </c>
      <c r="K94">
        <v>152.22028841073171</v>
      </c>
      <c r="L94" t="s">
        <v>32</v>
      </c>
      <c r="M94" t="s">
        <v>35</v>
      </c>
    </row>
    <row r="95" spans="1:13" x14ac:dyDescent="0.25">
      <c r="A95">
        <v>1646</v>
      </c>
      <c r="B95" s="2">
        <v>44622</v>
      </c>
      <c r="C95" t="s">
        <v>13</v>
      </c>
      <c r="D95" t="s">
        <v>23</v>
      </c>
      <c r="E95" t="s">
        <v>25</v>
      </c>
      <c r="F95" t="s">
        <v>28</v>
      </c>
      <c r="G95">
        <v>6</v>
      </c>
      <c r="H95">
        <v>111</v>
      </c>
      <c r="I95">
        <v>0</v>
      </c>
      <c r="J95">
        <v>666</v>
      </c>
      <c r="K95">
        <v>43.048729719122541</v>
      </c>
      <c r="L95" t="s">
        <v>32</v>
      </c>
      <c r="M95" t="s">
        <v>35</v>
      </c>
    </row>
    <row r="96" spans="1:13" x14ac:dyDescent="0.25">
      <c r="A96">
        <v>1087</v>
      </c>
      <c r="B96" s="2">
        <v>44576</v>
      </c>
      <c r="C96" t="s">
        <v>16</v>
      </c>
      <c r="D96" t="s">
        <v>23</v>
      </c>
      <c r="E96" t="s">
        <v>24</v>
      </c>
      <c r="F96" t="s">
        <v>29</v>
      </c>
      <c r="G96">
        <v>2</v>
      </c>
      <c r="H96">
        <v>183</v>
      </c>
      <c r="I96">
        <v>0.2</v>
      </c>
      <c r="J96">
        <v>292.8</v>
      </c>
      <c r="K96">
        <v>55.272218288927363</v>
      </c>
      <c r="L96" t="s">
        <v>32</v>
      </c>
      <c r="M96" t="s">
        <v>36</v>
      </c>
    </row>
    <row r="97" spans="1:13" x14ac:dyDescent="0.25">
      <c r="A97">
        <v>1642</v>
      </c>
      <c r="B97" s="2">
        <v>44739</v>
      </c>
      <c r="C97" t="s">
        <v>18</v>
      </c>
      <c r="D97" t="s">
        <v>20</v>
      </c>
      <c r="E97" t="s">
        <v>26</v>
      </c>
      <c r="F97" t="s">
        <v>29</v>
      </c>
      <c r="G97">
        <v>1</v>
      </c>
      <c r="H97">
        <v>244</v>
      </c>
      <c r="J97">
        <v>244</v>
      </c>
      <c r="K97">
        <v>37.317698036655017</v>
      </c>
      <c r="L97" t="s">
        <v>32</v>
      </c>
      <c r="M97" t="s">
        <v>36</v>
      </c>
    </row>
    <row r="98" spans="1:13" x14ac:dyDescent="0.25">
      <c r="A98">
        <v>1856</v>
      </c>
      <c r="B98" s="2">
        <v>44599</v>
      </c>
      <c r="C98" t="s">
        <v>17</v>
      </c>
      <c r="D98" t="s">
        <v>23</v>
      </c>
      <c r="E98" t="s">
        <v>26</v>
      </c>
      <c r="F98" t="s">
        <v>30</v>
      </c>
      <c r="G98">
        <v>5</v>
      </c>
      <c r="H98">
        <v>484</v>
      </c>
      <c r="I98">
        <v>0.3</v>
      </c>
      <c r="J98">
        <v>1694</v>
      </c>
      <c r="K98">
        <v>335.85427552810307</v>
      </c>
      <c r="L98" t="s">
        <v>32</v>
      </c>
      <c r="M98" t="s">
        <v>36</v>
      </c>
    </row>
    <row r="99" spans="1:13" x14ac:dyDescent="0.25">
      <c r="A99">
        <v>1686</v>
      </c>
      <c r="B99" s="2">
        <v>44611</v>
      </c>
      <c r="C99" t="s">
        <v>16</v>
      </c>
      <c r="D99" t="s">
        <v>23</v>
      </c>
      <c r="E99" t="s">
        <v>25</v>
      </c>
      <c r="F99" t="s">
        <v>29</v>
      </c>
      <c r="G99">
        <v>8</v>
      </c>
      <c r="H99">
        <v>194</v>
      </c>
      <c r="I99">
        <v>0.3</v>
      </c>
      <c r="J99">
        <v>1086.4000000000001</v>
      </c>
      <c r="K99">
        <v>71.934236261574199</v>
      </c>
      <c r="L99" t="s">
        <v>32</v>
      </c>
      <c r="M99" t="s">
        <v>34</v>
      </c>
    </row>
    <row r="100" spans="1:13" x14ac:dyDescent="0.25">
      <c r="A100">
        <v>1854</v>
      </c>
      <c r="B100" s="2">
        <v>44850</v>
      </c>
      <c r="C100" t="s">
        <v>17</v>
      </c>
      <c r="D100" t="s">
        <v>21</v>
      </c>
      <c r="E100" t="s">
        <v>24</v>
      </c>
      <c r="F100" t="s">
        <v>29</v>
      </c>
      <c r="G100">
        <v>7</v>
      </c>
      <c r="H100">
        <v>232</v>
      </c>
      <c r="J100">
        <v>1624</v>
      </c>
      <c r="K100">
        <v>355.72809020262622</v>
      </c>
      <c r="L100" t="s">
        <v>32</v>
      </c>
      <c r="M100" t="s">
        <v>36</v>
      </c>
    </row>
    <row r="101" spans="1:13" x14ac:dyDescent="0.25">
      <c r="A101">
        <v>1219</v>
      </c>
      <c r="B101" s="2">
        <v>44848</v>
      </c>
      <c r="C101" t="s">
        <v>14</v>
      </c>
      <c r="D101" t="s">
        <v>22</v>
      </c>
      <c r="E101" t="s">
        <v>24</v>
      </c>
      <c r="F101" t="s">
        <v>27</v>
      </c>
      <c r="G101">
        <v>6</v>
      </c>
      <c r="H101">
        <v>324</v>
      </c>
      <c r="I101">
        <v>0</v>
      </c>
      <c r="J101">
        <v>1944</v>
      </c>
      <c r="K101">
        <v>405.39307921172809</v>
      </c>
      <c r="L101" t="s">
        <v>33</v>
      </c>
      <c r="M101" t="s">
        <v>35</v>
      </c>
    </row>
    <row r="102" spans="1:13" x14ac:dyDescent="0.25">
      <c r="A102">
        <v>1951</v>
      </c>
      <c r="B102" s="2">
        <v>44842</v>
      </c>
      <c r="C102" t="s">
        <v>19</v>
      </c>
      <c r="D102" t="s">
        <v>21</v>
      </c>
      <c r="E102" t="s">
        <v>26</v>
      </c>
      <c r="F102" t="s">
        <v>27</v>
      </c>
      <c r="G102">
        <v>9</v>
      </c>
      <c r="H102">
        <v>457</v>
      </c>
      <c r="I102">
        <v>0.1</v>
      </c>
      <c r="J102">
        <v>3701.7</v>
      </c>
      <c r="K102">
        <v>787.67325373912331</v>
      </c>
      <c r="L102" t="s">
        <v>32</v>
      </c>
      <c r="M102" t="s">
        <v>35</v>
      </c>
    </row>
    <row r="103" spans="1:13" x14ac:dyDescent="0.25">
      <c r="A103">
        <v>1295</v>
      </c>
      <c r="B103" s="2">
        <v>44676</v>
      </c>
      <c r="C103" t="s">
        <v>14</v>
      </c>
      <c r="D103" t="s">
        <v>23</v>
      </c>
      <c r="E103" t="s">
        <v>26</v>
      </c>
      <c r="F103" t="s">
        <v>29</v>
      </c>
      <c r="G103">
        <v>5</v>
      </c>
      <c r="H103">
        <v>172</v>
      </c>
      <c r="I103">
        <v>0.3</v>
      </c>
      <c r="J103">
        <v>602</v>
      </c>
      <c r="K103">
        <v>143.18195044737141</v>
      </c>
      <c r="L103" t="s">
        <v>32</v>
      </c>
      <c r="M103" t="s">
        <v>35</v>
      </c>
    </row>
    <row r="104" spans="1:13" x14ac:dyDescent="0.25">
      <c r="A104">
        <v>1870</v>
      </c>
      <c r="B104" s="2">
        <v>44746</v>
      </c>
      <c r="C104" t="s">
        <v>17</v>
      </c>
      <c r="D104" t="s">
        <v>22</v>
      </c>
      <c r="E104" t="s">
        <v>26</v>
      </c>
      <c r="F104" t="s">
        <v>31</v>
      </c>
      <c r="G104">
        <v>7</v>
      </c>
      <c r="H104">
        <v>135</v>
      </c>
      <c r="I104">
        <v>0</v>
      </c>
      <c r="J104">
        <v>945</v>
      </c>
      <c r="K104">
        <v>59.524741447195908</v>
      </c>
      <c r="L104" t="s">
        <v>32</v>
      </c>
      <c r="M104" t="s">
        <v>36</v>
      </c>
    </row>
    <row r="105" spans="1:13" x14ac:dyDescent="0.25">
      <c r="A105">
        <v>1106</v>
      </c>
      <c r="B105" s="2">
        <v>44566</v>
      </c>
      <c r="C105" t="s">
        <v>16</v>
      </c>
      <c r="D105" t="s">
        <v>20</v>
      </c>
      <c r="E105" t="s">
        <v>24</v>
      </c>
      <c r="F105" t="s">
        <v>27</v>
      </c>
      <c r="G105">
        <v>1</v>
      </c>
      <c r="H105">
        <v>41</v>
      </c>
      <c r="I105">
        <v>0</v>
      </c>
      <c r="J105">
        <v>41</v>
      </c>
      <c r="K105">
        <v>3.690734258284373</v>
      </c>
      <c r="L105" t="s">
        <v>32</v>
      </c>
      <c r="M105" t="s">
        <v>36</v>
      </c>
    </row>
    <row r="106" spans="1:13" x14ac:dyDescent="0.25">
      <c r="A106">
        <v>1592</v>
      </c>
      <c r="B106" s="2">
        <v>44705</v>
      </c>
      <c r="C106" t="s">
        <v>13</v>
      </c>
      <c r="D106" t="s">
        <v>21</v>
      </c>
      <c r="E106" t="s">
        <v>26</v>
      </c>
      <c r="F106" t="s">
        <v>28</v>
      </c>
      <c r="G106">
        <v>6</v>
      </c>
      <c r="H106">
        <v>385</v>
      </c>
      <c r="J106">
        <v>2310</v>
      </c>
      <c r="K106">
        <v>145.67892528767871</v>
      </c>
      <c r="L106" t="s">
        <v>32</v>
      </c>
      <c r="M106" t="s">
        <v>36</v>
      </c>
    </row>
    <row r="107" spans="1:13" x14ac:dyDescent="0.25">
      <c r="A107">
        <v>1829</v>
      </c>
      <c r="B107" s="2">
        <v>44830</v>
      </c>
      <c r="C107" t="s">
        <v>13</v>
      </c>
      <c r="D107" t="s">
        <v>21</v>
      </c>
      <c r="E107" t="s">
        <v>26</v>
      </c>
      <c r="F107" t="s">
        <v>28</v>
      </c>
      <c r="G107">
        <v>5</v>
      </c>
      <c r="H107">
        <v>56</v>
      </c>
      <c r="I107">
        <v>0</v>
      </c>
      <c r="J107">
        <v>280</v>
      </c>
      <c r="K107">
        <v>48.594871307520997</v>
      </c>
      <c r="L107" t="s">
        <v>32</v>
      </c>
      <c r="M107" t="s">
        <v>36</v>
      </c>
    </row>
    <row r="108" spans="1:13" x14ac:dyDescent="0.25">
      <c r="A108">
        <v>1995</v>
      </c>
      <c r="B108" s="2">
        <v>44666</v>
      </c>
      <c r="C108" t="s">
        <v>15</v>
      </c>
      <c r="D108" t="s">
        <v>23</v>
      </c>
      <c r="E108" t="s">
        <v>26</v>
      </c>
      <c r="F108" t="s">
        <v>29</v>
      </c>
      <c r="G108">
        <v>6</v>
      </c>
      <c r="H108">
        <v>467</v>
      </c>
      <c r="I108">
        <v>0.2</v>
      </c>
      <c r="J108">
        <v>2241.6</v>
      </c>
      <c r="K108">
        <v>186.88217654189489</v>
      </c>
      <c r="L108" t="s">
        <v>32</v>
      </c>
      <c r="M108" t="s">
        <v>35</v>
      </c>
    </row>
    <row r="109" spans="1:13" x14ac:dyDescent="0.25">
      <c r="A109">
        <v>1671</v>
      </c>
      <c r="B109" s="2">
        <v>44824</v>
      </c>
      <c r="C109" t="s">
        <v>18</v>
      </c>
      <c r="D109" t="s">
        <v>23</v>
      </c>
      <c r="E109" t="s">
        <v>24</v>
      </c>
      <c r="F109" t="s">
        <v>27</v>
      </c>
      <c r="G109">
        <v>9</v>
      </c>
      <c r="H109">
        <v>319</v>
      </c>
      <c r="I109">
        <v>0.3</v>
      </c>
      <c r="J109">
        <v>2009.7</v>
      </c>
      <c r="K109">
        <v>457.32873809831722</v>
      </c>
      <c r="L109" t="s">
        <v>32</v>
      </c>
      <c r="M109" t="s">
        <v>34</v>
      </c>
    </row>
    <row r="110" spans="1:13" x14ac:dyDescent="0.25">
      <c r="A110">
        <v>1460</v>
      </c>
      <c r="B110" s="2">
        <v>44754</v>
      </c>
      <c r="C110" t="s">
        <v>19</v>
      </c>
      <c r="D110" t="s">
        <v>21</v>
      </c>
      <c r="E110" t="s">
        <v>24</v>
      </c>
      <c r="F110" t="s">
        <v>31</v>
      </c>
      <c r="G110">
        <v>8</v>
      </c>
      <c r="H110">
        <v>193</v>
      </c>
      <c r="I110">
        <v>0</v>
      </c>
      <c r="J110">
        <v>1544</v>
      </c>
      <c r="K110">
        <v>156.28417182217501</v>
      </c>
      <c r="L110" t="s">
        <v>32</v>
      </c>
      <c r="M110" t="s">
        <v>34</v>
      </c>
    </row>
    <row r="111" spans="1:13" x14ac:dyDescent="0.25">
      <c r="A111">
        <v>1098</v>
      </c>
      <c r="B111" s="2">
        <v>44728</v>
      </c>
      <c r="C111" t="s">
        <v>18</v>
      </c>
      <c r="D111" t="s">
        <v>23</v>
      </c>
      <c r="E111" t="s">
        <v>26</v>
      </c>
      <c r="F111" t="s">
        <v>27</v>
      </c>
      <c r="G111">
        <v>1</v>
      </c>
      <c r="H111">
        <v>329</v>
      </c>
      <c r="J111">
        <v>329</v>
      </c>
      <c r="K111">
        <v>22.015722766275129</v>
      </c>
      <c r="L111" t="s">
        <v>33</v>
      </c>
      <c r="M111" t="s">
        <v>36</v>
      </c>
    </row>
    <row r="112" spans="1:13" x14ac:dyDescent="0.25">
      <c r="A112">
        <v>1818</v>
      </c>
      <c r="B112" s="2">
        <v>44621</v>
      </c>
      <c r="C112" t="s">
        <v>14</v>
      </c>
      <c r="D112" t="s">
        <v>21</v>
      </c>
      <c r="E112" t="s">
        <v>25</v>
      </c>
      <c r="F112" t="s">
        <v>31</v>
      </c>
      <c r="G112">
        <v>6</v>
      </c>
      <c r="H112">
        <v>459</v>
      </c>
      <c r="I112">
        <v>0</v>
      </c>
      <c r="J112">
        <v>2754</v>
      </c>
      <c r="K112">
        <v>190.754625183987</v>
      </c>
      <c r="L112" t="s">
        <v>32</v>
      </c>
      <c r="M112" t="s">
        <v>35</v>
      </c>
    </row>
    <row r="113" spans="1:13" x14ac:dyDescent="0.25">
      <c r="A113">
        <v>1698</v>
      </c>
      <c r="B113" s="2">
        <v>44844</v>
      </c>
      <c r="C113" t="s">
        <v>19</v>
      </c>
      <c r="D113" t="s">
        <v>23</v>
      </c>
      <c r="E113" t="s">
        <v>26</v>
      </c>
      <c r="F113" t="s">
        <v>30</v>
      </c>
      <c r="G113">
        <v>8</v>
      </c>
      <c r="H113">
        <v>226</v>
      </c>
      <c r="I113">
        <v>0.1</v>
      </c>
      <c r="J113">
        <v>1627.2</v>
      </c>
      <c r="K113">
        <v>224.70612828080741</v>
      </c>
      <c r="L113" t="s">
        <v>32</v>
      </c>
      <c r="M113" t="s">
        <v>36</v>
      </c>
    </row>
    <row r="114" spans="1:13" x14ac:dyDescent="0.25">
      <c r="A114">
        <v>1288</v>
      </c>
      <c r="B114" s="2">
        <v>44709</v>
      </c>
      <c r="C114" t="s">
        <v>15</v>
      </c>
      <c r="D114" t="s">
        <v>21</v>
      </c>
      <c r="E114" t="s">
        <v>26</v>
      </c>
      <c r="F114" t="s">
        <v>27</v>
      </c>
      <c r="G114">
        <v>2</v>
      </c>
      <c r="H114">
        <v>30</v>
      </c>
      <c r="I114">
        <v>0.1</v>
      </c>
      <c r="J114">
        <v>54</v>
      </c>
      <c r="K114">
        <v>15.947510721712829</v>
      </c>
      <c r="L114" t="s">
        <v>32</v>
      </c>
      <c r="M114" t="s">
        <v>34</v>
      </c>
    </row>
    <row r="115" spans="1:13" x14ac:dyDescent="0.25">
      <c r="A115">
        <v>1742</v>
      </c>
      <c r="B115" s="2">
        <v>44758</v>
      </c>
      <c r="C115" t="s">
        <v>15</v>
      </c>
      <c r="D115" t="s">
        <v>21</v>
      </c>
      <c r="E115" t="s">
        <v>24</v>
      </c>
      <c r="F115" t="s">
        <v>28</v>
      </c>
      <c r="G115">
        <v>3</v>
      </c>
      <c r="H115">
        <v>394</v>
      </c>
      <c r="I115">
        <v>0.1</v>
      </c>
      <c r="J115">
        <v>1063.8</v>
      </c>
      <c r="K115">
        <v>116.6978524169204</v>
      </c>
      <c r="L115" t="s">
        <v>32</v>
      </c>
      <c r="M115" t="s">
        <v>34</v>
      </c>
    </row>
    <row r="116" spans="1:13" x14ac:dyDescent="0.25">
      <c r="A116">
        <v>1562</v>
      </c>
      <c r="B116" s="2">
        <v>44613</v>
      </c>
      <c r="C116" t="s">
        <v>13</v>
      </c>
      <c r="D116" t="s">
        <v>20</v>
      </c>
      <c r="E116" t="s">
        <v>24</v>
      </c>
      <c r="F116" t="s">
        <v>27</v>
      </c>
      <c r="G116">
        <v>1</v>
      </c>
      <c r="H116">
        <v>103</v>
      </c>
      <c r="J116">
        <v>103</v>
      </c>
      <c r="K116">
        <v>19.608228139957738</v>
      </c>
      <c r="L116" t="s">
        <v>32</v>
      </c>
      <c r="M116" t="s">
        <v>35</v>
      </c>
    </row>
    <row r="117" spans="1:13" x14ac:dyDescent="0.25">
      <c r="A117">
        <v>1258</v>
      </c>
      <c r="B117" s="2">
        <v>44808</v>
      </c>
      <c r="C117" t="s">
        <v>17</v>
      </c>
      <c r="D117" t="s">
        <v>20</v>
      </c>
      <c r="E117" t="s">
        <v>26</v>
      </c>
      <c r="F117" t="s">
        <v>30</v>
      </c>
      <c r="G117">
        <v>5</v>
      </c>
      <c r="H117">
        <v>44</v>
      </c>
      <c r="I117">
        <v>0.1</v>
      </c>
      <c r="J117">
        <v>198</v>
      </c>
      <c r="K117">
        <v>41.3162280260701</v>
      </c>
      <c r="L117" t="s">
        <v>33</v>
      </c>
      <c r="M117" t="s">
        <v>35</v>
      </c>
    </row>
    <row r="118" spans="1:13" x14ac:dyDescent="0.25">
      <c r="A118">
        <v>1556</v>
      </c>
      <c r="B118" s="2">
        <v>44781</v>
      </c>
      <c r="C118" t="s">
        <v>14</v>
      </c>
      <c r="D118" t="s">
        <v>23</v>
      </c>
      <c r="E118" t="s">
        <v>24</v>
      </c>
      <c r="F118" t="s">
        <v>31</v>
      </c>
      <c r="G118">
        <v>3</v>
      </c>
      <c r="H118">
        <v>103</v>
      </c>
      <c r="I118">
        <v>0.3</v>
      </c>
      <c r="J118">
        <v>216.3</v>
      </c>
      <c r="K118">
        <v>32.227103309222237</v>
      </c>
      <c r="L118" t="s">
        <v>33</v>
      </c>
      <c r="M118" t="s">
        <v>35</v>
      </c>
    </row>
    <row r="119" spans="1:13" x14ac:dyDescent="0.25">
      <c r="A119">
        <v>1112</v>
      </c>
      <c r="B119" s="2">
        <v>44845</v>
      </c>
      <c r="C119" t="s">
        <v>17</v>
      </c>
      <c r="D119" t="s">
        <v>21</v>
      </c>
      <c r="E119" t="s">
        <v>24</v>
      </c>
      <c r="F119" t="s">
        <v>30</v>
      </c>
      <c r="G119">
        <v>2</v>
      </c>
      <c r="H119">
        <v>372</v>
      </c>
      <c r="I119">
        <v>0.2</v>
      </c>
      <c r="J119">
        <v>595.20000000000005</v>
      </c>
      <c r="K119">
        <v>154.9673958990123</v>
      </c>
      <c r="L119" t="s">
        <v>32</v>
      </c>
      <c r="M119" t="s">
        <v>35</v>
      </c>
    </row>
    <row r="120" spans="1:13" x14ac:dyDescent="0.25">
      <c r="A120">
        <v>1129</v>
      </c>
      <c r="B120" s="2">
        <v>44857</v>
      </c>
      <c r="C120" t="s">
        <v>15</v>
      </c>
      <c r="D120" t="s">
        <v>22</v>
      </c>
      <c r="E120" t="s">
        <v>25</v>
      </c>
      <c r="F120" t="s">
        <v>30</v>
      </c>
      <c r="G120">
        <v>4</v>
      </c>
      <c r="H120">
        <v>23</v>
      </c>
      <c r="I120">
        <v>0</v>
      </c>
      <c r="J120">
        <v>92</v>
      </c>
      <c r="K120">
        <v>23.851945880587621</v>
      </c>
      <c r="L120" t="s">
        <v>32</v>
      </c>
      <c r="M120" t="s">
        <v>34</v>
      </c>
    </row>
    <row r="121" spans="1:13" x14ac:dyDescent="0.25">
      <c r="A121">
        <v>1735</v>
      </c>
      <c r="B121" s="2">
        <v>44852</v>
      </c>
      <c r="C121" t="s">
        <v>13</v>
      </c>
      <c r="D121" t="s">
        <v>22</v>
      </c>
      <c r="E121" t="s">
        <v>24</v>
      </c>
      <c r="F121" t="s">
        <v>30</v>
      </c>
      <c r="G121">
        <v>2</v>
      </c>
      <c r="H121">
        <v>461</v>
      </c>
      <c r="I121">
        <v>0.2</v>
      </c>
      <c r="J121">
        <v>737.6</v>
      </c>
      <c r="K121">
        <v>163.4387350689164</v>
      </c>
      <c r="L121" t="s">
        <v>32</v>
      </c>
      <c r="M121" t="s">
        <v>36</v>
      </c>
    </row>
    <row r="122" spans="1:13" x14ac:dyDescent="0.25">
      <c r="A122">
        <v>1729</v>
      </c>
      <c r="B122" s="2">
        <v>44860</v>
      </c>
      <c r="C122" t="s">
        <v>13</v>
      </c>
      <c r="D122" t="s">
        <v>20</v>
      </c>
      <c r="E122" t="s">
        <v>26</v>
      </c>
      <c r="F122" t="s">
        <v>30</v>
      </c>
      <c r="G122">
        <v>1</v>
      </c>
      <c r="H122">
        <v>401</v>
      </c>
      <c r="I122">
        <v>0.3</v>
      </c>
      <c r="J122">
        <v>280.7</v>
      </c>
      <c r="K122">
        <v>62.747016496052382</v>
      </c>
      <c r="L122" t="s">
        <v>32</v>
      </c>
      <c r="M122" t="s">
        <v>34</v>
      </c>
    </row>
    <row r="123" spans="1:13" x14ac:dyDescent="0.25">
      <c r="A123">
        <v>1771</v>
      </c>
      <c r="B123" s="2">
        <v>44656</v>
      </c>
      <c r="C123" t="s">
        <v>13</v>
      </c>
      <c r="D123" t="s">
        <v>20</v>
      </c>
      <c r="E123" t="s">
        <v>24</v>
      </c>
      <c r="F123" t="s">
        <v>27</v>
      </c>
      <c r="G123">
        <v>9</v>
      </c>
      <c r="H123">
        <v>112</v>
      </c>
      <c r="I123">
        <v>0.2</v>
      </c>
      <c r="J123">
        <v>806.40000000000009</v>
      </c>
      <c r="K123">
        <v>100.54307563549671</v>
      </c>
      <c r="L123" t="s">
        <v>32</v>
      </c>
      <c r="M123" t="s">
        <v>35</v>
      </c>
    </row>
    <row r="124" spans="1:13" x14ac:dyDescent="0.25">
      <c r="A124">
        <v>1032</v>
      </c>
      <c r="B124" s="2">
        <v>44721</v>
      </c>
      <c r="C124" t="s">
        <v>15</v>
      </c>
      <c r="D124" t="s">
        <v>22</v>
      </c>
      <c r="E124" t="s">
        <v>25</v>
      </c>
      <c r="F124" t="s">
        <v>29</v>
      </c>
      <c r="G124">
        <v>8</v>
      </c>
      <c r="H124">
        <v>420</v>
      </c>
      <c r="I124">
        <v>0.3</v>
      </c>
      <c r="J124">
        <v>2352</v>
      </c>
      <c r="K124">
        <v>265.16839686809521</v>
      </c>
      <c r="L124" t="s">
        <v>32</v>
      </c>
      <c r="M124" t="s">
        <v>35</v>
      </c>
    </row>
    <row r="125" spans="1:13" x14ac:dyDescent="0.25">
      <c r="A125">
        <v>1315</v>
      </c>
      <c r="B125" s="2">
        <v>44629</v>
      </c>
      <c r="C125" t="s">
        <v>16</v>
      </c>
      <c r="D125" t="s">
        <v>23</v>
      </c>
      <c r="E125" t="s">
        <v>25</v>
      </c>
      <c r="F125" t="s">
        <v>31</v>
      </c>
      <c r="G125">
        <v>3</v>
      </c>
      <c r="H125">
        <v>103</v>
      </c>
      <c r="I125">
        <v>0.3</v>
      </c>
      <c r="J125">
        <v>216.3</v>
      </c>
      <c r="K125">
        <v>18.788495381642299</v>
      </c>
      <c r="L125" t="s">
        <v>32</v>
      </c>
      <c r="M125" t="s">
        <v>34</v>
      </c>
    </row>
    <row r="126" spans="1:13" x14ac:dyDescent="0.25">
      <c r="A126">
        <v>1637</v>
      </c>
      <c r="B126" s="2">
        <v>44856</v>
      </c>
      <c r="C126" t="s">
        <v>14</v>
      </c>
      <c r="D126" t="s">
        <v>22</v>
      </c>
      <c r="E126" t="s">
        <v>25</v>
      </c>
      <c r="F126" t="s">
        <v>27</v>
      </c>
      <c r="G126">
        <v>4</v>
      </c>
      <c r="H126">
        <v>312</v>
      </c>
      <c r="J126">
        <v>1248</v>
      </c>
      <c r="K126">
        <v>133.28002179133671</v>
      </c>
      <c r="L126" t="s">
        <v>32</v>
      </c>
      <c r="M126" t="s">
        <v>34</v>
      </c>
    </row>
    <row r="127" spans="1:13" x14ac:dyDescent="0.25">
      <c r="A127">
        <v>1345</v>
      </c>
      <c r="B127" s="2">
        <v>44633</v>
      </c>
      <c r="C127" t="s">
        <v>14</v>
      </c>
      <c r="D127" t="s">
        <v>22</v>
      </c>
      <c r="E127" t="s">
        <v>26</v>
      </c>
      <c r="F127" t="s">
        <v>31</v>
      </c>
      <c r="G127">
        <v>9</v>
      </c>
      <c r="H127">
        <v>472</v>
      </c>
      <c r="J127">
        <v>4248</v>
      </c>
      <c r="K127">
        <v>446.68989377930637</v>
      </c>
      <c r="L127" t="s">
        <v>32</v>
      </c>
      <c r="M127" t="s">
        <v>35</v>
      </c>
    </row>
    <row r="128" spans="1:13" x14ac:dyDescent="0.25">
      <c r="A128">
        <v>1112</v>
      </c>
      <c r="B128" s="2">
        <v>44839</v>
      </c>
      <c r="C128" t="s">
        <v>14</v>
      </c>
      <c r="D128" t="s">
        <v>21</v>
      </c>
      <c r="E128" t="s">
        <v>26</v>
      </c>
      <c r="F128" t="s">
        <v>30</v>
      </c>
      <c r="G128">
        <v>7</v>
      </c>
      <c r="H128">
        <v>54</v>
      </c>
      <c r="I128">
        <v>0.2</v>
      </c>
      <c r="J128">
        <v>302.39999999999998</v>
      </c>
      <c r="K128">
        <v>41.424370715611801</v>
      </c>
      <c r="L128" t="s">
        <v>32</v>
      </c>
      <c r="M128" t="s">
        <v>35</v>
      </c>
    </row>
    <row r="129" spans="1:13" x14ac:dyDescent="0.25">
      <c r="A129">
        <v>1366</v>
      </c>
      <c r="B129" s="2">
        <v>44638</v>
      </c>
      <c r="C129" t="s">
        <v>13</v>
      </c>
      <c r="D129" t="s">
        <v>20</v>
      </c>
      <c r="E129" t="s">
        <v>24</v>
      </c>
      <c r="F129" t="s">
        <v>29</v>
      </c>
      <c r="G129">
        <v>8</v>
      </c>
      <c r="H129">
        <v>441</v>
      </c>
      <c r="I129">
        <v>0</v>
      </c>
      <c r="J129">
        <v>3528</v>
      </c>
      <c r="K129">
        <v>743.1425059900389</v>
      </c>
      <c r="L129" t="s">
        <v>32</v>
      </c>
      <c r="M129" t="s">
        <v>35</v>
      </c>
    </row>
    <row r="130" spans="1:13" x14ac:dyDescent="0.25">
      <c r="A130">
        <v>1267</v>
      </c>
      <c r="B130" s="2">
        <v>44834</v>
      </c>
      <c r="C130" t="s">
        <v>18</v>
      </c>
      <c r="D130" t="s">
        <v>21</v>
      </c>
      <c r="E130" t="s">
        <v>24</v>
      </c>
      <c r="F130" t="s">
        <v>31</v>
      </c>
      <c r="G130">
        <v>5</v>
      </c>
      <c r="H130">
        <v>78</v>
      </c>
      <c r="I130">
        <v>0.1</v>
      </c>
      <c r="J130">
        <v>351</v>
      </c>
      <c r="K130">
        <v>80.029230284026013</v>
      </c>
      <c r="L130" t="s">
        <v>32</v>
      </c>
      <c r="M130" t="s">
        <v>36</v>
      </c>
    </row>
    <row r="131" spans="1:13" x14ac:dyDescent="0.25">
      <c r="A131">
        <v>1996</v>
      </c>
      <c r="B131" s="2">
        <v>44851</v>
      </c>
      <c r="C131" t="s">
        <v>16</v>
      </c>
      <c r="D131" t="s">
        <v>20</v>
      </c>
      <c r="E131" t="s">
        <v>24</v>
      </c>
      <c r="F131" t="s">
        <v>28</v>
      </c>
      <c r="G131">
        <v>9</v>
      </c>
      <c r="H131">
        <v>178</v>
      </c>
      <c r="I131">
        <v>0</v>
      </c>
      <c r="J131">
        <v>1602</v>
      </c>
      <c r="K131">
        <v>210.30415818039549</v>
      </c>
      <c r="L131" t="s">
        <v>32</v>
      </c>
      <c r="M131" t="s">
        <v>35</v>
      </c>
    </row>
    <row r="132" spans="1:13" x14ac:dyDescent="0.25">
      <c r="A132">
        <v>1766</v>
      </c>
      <c r="B132" s="2">
        <v>44744</v>
      </c>
      <c r="C132" t="s">
        <v>16</v>
      </c>
      <c r="D132" t="s">
        <v>20</v>
      </c>
      <c r="E132" t="s">
        <v>26</v>
      </c>
      <c r="F132" t="s">
        <v>28</v>
      </c>
      <c r="G132">
        <v>5</v>
      </c>
      <c r="H132">
        <v>436</v>
      </c>
      <c r="I132">
        <v>0</v>
      </c>
      <c r="J132">
        <v>2180</v>
      </c>
      <c r="K132">
        <v>548.48997139189748</v>
      </c>
      <c r="L132" t="s">
        <v>33</v>
      </c>
      <c r="M132" t="s">
        <v>35</v>
      </c>
    </row>
    <row r="133" spans="1:13" x14ac:dyDescent="0.25">
      <c r="A133">
        <v>1491</v>
      </c>
      <c r="B133" s="2">
        <v>44586</v>
      </c>
      <c r="C133" t="s">
        <v>13</v>
      </c>
      <c r="D133" t="s">
        <v>23</v>
      </c>
      <c r="E133" t="s">
        <v>25</v>
      </c>
      <c r="F133" t="s">
        <v>30</v>
      </c>
      <c r="G133">
        <v>1</v>
      </c>
      <c r="H133">
        <v>153</v>
      </c>
      <c r="I133">
        <v>0.2</v>
      </c>
      <c r="J133">
        <v>122.4</v>
      </c>
      <c r="K133">
        <v>28.939453751575709</v>
      </c>
      <c r="L133" t="s">
        <v>33</v>
      </c>
      <c r="M133" t="s">
        <v>35</v>
      </c>
    </row>
    <row r="134" spans="1:13" x14ac:dyDescent="0.25">
      <c r="A134">
        <v>1413</v>
      </c>
      <c r="B134" s="2">
        <v>44587</v>
      </c>
      <c r="C134" t="s">
        <v>16</v>
      </c>
      <c r="D134" t="s">
        <v>20</v>
      </c>
      <c r="E134" t="s">
        <v>26</v>
      </c>
      <c r="F134" t="s">
        <v>29</v>
      </c>
      <c r="G134">
        <v>5</v>
      </c>
      <c r="H134">
        <v>386</v>
      </c>
      <c r="I134">
        <v>0.1</v>
      </c>
      <c r="J134">
        <v>1737</v>
      </c>
      <c r="K134">
        <v>174.77718325175431</v>
      </c>
      <c r="L134" t="s">
        <v>32</v>
      </c>
      <c r="M134" t="s">
        <v>34</v>
      </c>
    </row>
    <row r="135" spans="1:13" x14ac:dyDescent="0.25">
      <c r="A135">
        <v>1269</v>
      </c>
      <c r="B135" s="2">
        <v>44667</v>
      </c>
      <c r="C135" t="s">
        <v>13</v>
      </c>
      <c r="D135" t="s">
        <v>20</v>
      </c>
      <c r="E135" t="s">
        <v>24</v>
      </c>
      <c r="F135" t="s">
        <v>31</v>
      </c>
      <c r="G135">
        <v>6</v>
      </c>
      <c r="H135">
        <v>447</v>
      </c>
      <c r="I135">
        <v>0.2</v>
      </c>
      <c r="J135">
        <v>2145.6</v>
      </c>
      <c r="K135">
        <v>150.51465197932171</v>
      </c>
      <c r="L135" t="s">
        <v>32</v>
      </c>
      <c r="M135" t="s">
        <v>36</v>
      </c>
    </row>
    <row r="136" spans="1:13" x14ac:dyDescent="0.25">
      <c r="A136">
        <v>1288</v>
      </c>
      <c r="B136" s="2">
        <v>44709</v>
      </c>
      <c r="C136" t="s">
        <v>15</v>
      </c>
      <c r="D136" t="s">
        <v>21</v>
      </c>
      <c r="E136" t="s">
        <v>26</v>
      </c>
      <c r="F136" t="s">
        <v>27</v>
      </c>
      <c r="G136">
        <v>2</v>
      </c>
      <c r="H136">
        <v>30</v>
      </c>
      <c r="I136">
        <v>0.1</v>
      </c>
      <c r="J136">
        <v>54</v>
      </c>
      <c r="K136">
        <v>15.947510721712829</v>
      </c>
      <c r="L136" t="s">
        <v>32</v>
      </c>
      <c r="M136" t="s">
        <v>36</v>
      </c>
    </row>
    <row r="137" spans="1:13" x14ac:dyDescent="0.25">
      <c r="A137">
        <v>1134</v>
      </c>
      <c r="B137" s="2">
        <v>44716</v>
      </c>
      <c r="C137" t="s">
        <v>13</v>
      </c>
      <c r="D137" t="s">
        <v>22</v>
      </c>
      <c r="E137" t="s">
        <v>24</v>
      </c>
      <c r="F137" t="s">
        <v>28</v>
      </c>
      <c r="G137">
        <v>7</v>
      </c>
      <c r="H137">
        <v>286</v>
      </c>
      <c r="I137">
        <v>0</v>
      </c>
      <c r="J137">
        <v>2002</v>
      </c>
      <c r="K137">
        <v>404.66789998458148</v>
      </c>
      <c r="L137" t="s">
        <v>32</v>
      </c>
      <c r="M137" t="s">
        <v>35</v>
      </c>
    </row>
    <row r="138" spans="1:13" x14ac:dyDescent="0.25">
      <c r="A138">
        <v>1863</v>
      </c>
      <c r="B138" s="2">
        <v>44757</v>
      </c>
      <c r="C138" t="s">
        <v>17</v>
      </c>
      <c r="D138" t="s">
        <v>23</v>
      </c>
      <c r="E138" t="s">
        <v>26</v>
      </c>
      <c r="F138" t="s">
        <v>31</v>
      </c>
      <c r="G138">
        <v>5</v>
      </c>
      <c r="H138">
        <v>125</v>
      </c>
      <c r="I138">
        <v>0.1</v>
      </c>
      <c r="J138">
        <v>562.5</v>
      </c>
      <c r="K138">
        <v>150.5500910220947</v>
      </c>
      <c r="L138" t="s">
        <v>32</v>
      </c>
      <c r="M138" t="s">
        <v>34</v>
      </c>
    </row>
    <row r="139" spans="1:13" x14ac:dyDescent="0.25">
      <c r="A139">
        <v>1308</v>
      </c>
      <c r="B139" s="2">
        <v>44583</v>
      </c>
      <c r="C139" t="s">
        <v>19</v>
      </c>
      <c r="D139" t="s">
        <v>20</v>
      </c>
      <c r="E139" t="s">
        <v>26</v>
      </c>
      <c r="F139" t="s">
        <v>28</v>
      </c>
      <c r="G139">
        <v>9</v>
      </c>
      <c r="H139">
        <v>48</v>
      </c>
      <c r="I139">
        <v>0.1</v>
      </c>
      <c r="J139">
        <v>388.8</v>
      </c>
      <c r="K139">
        <v>19.948318436371121</v>
      </c>
      <c r="L139" t="s">
        <v>32</v>
      </c>
      <c r="M139" t="s">
        <v>35</v>
      </c>
    </row>
    <row r="140" spans="1:13" x14ac:dyDescent="0.25">
      <c r="A140">
        <v>1339</v>
      </c>
      <c r="B140" s="2">
        <v>44789</v>
      </c>
      <c r="C140" t="s">
        <v>17</v>
      </c>
      <c r="D140" t="s">
        <v>20</v>
      </c>
      <c r="E140" t="s">
        <v>25</v>
      </c>
      <c r="F140" t="s">
        <v>28</v>
      </c>
      <c r="G140">
        <v>9</v>
      </c>
      <c r="H140">
        <v>227</v>
      </c>
      <c r="J140">
        <v>2043</v>
      </c>
      <c r="K140">
        <v>564.96266737161511</v>
      </c>
      <c r="L140" t="s">
        <v>32</v>
      </c>
      <c r="M140" t="s">
        <v>36</v>
      </c>
    </row>
    <row r="141" spans="1:13" x14ac:dyDescent="0.25">
      <c r="A141">
        <v>1160</v>
      </c>
      <c r="B141" s="2">
        <v>44593</v>
      </c>
      <c r="C141" t="s">
        <v>16</v>
      </c>
      <c r="D141" t="s">
        <v>20</v>
      </c>
      <c r="E141" t="s">
        <v>26</v>
      </c>
      <c r="F141" t="s">
        <v>28</v>
      </c>
      <c r="G141">
        <v>5</v>
      </c>
      <c r="H141">
        <v>490</v>
      </c>
      <c r="J141">
        <v>2450</v>
      </c>
      <c r="K141">
        <v>659.44859161977286</v>
      </c>
      <c r="L141" t="s">
        <v>32</v>
      </c>
      <c r="M141" t="s">
        <v>35</v>
      </c>
    </row>
    <row r="142" spans="1:13" x14ac:dyDescent="0.25">
      <c r="A142">
        <v>1779</v>
      </c>
      <c r="B142" s="2">
        <v>44719</v>
      </c>
      <c r="C142" t="s">
        <v>19</v>
      </c>
      <c r="D142" t="s">
        <v>22</v>
      </c>
      <c r="E142" t="s">
        <v>25</v>
      </c>
      <c r="F142" t="s">
        <v>28</v>
      </c>
      <c r="G142">
        <v>5</v>
      </c>
      <c r="H142">
        <v>107</v>
      </c>
      <c r="I142">
        <v>0</v>
      </c>
      <c r="J142">
        <v>535</v>
      </c>
      <c r="K142">
        <v>46.979263343297497</v>
      </c>
      <c r="L142" t="s">
        <v>32</v>
      </c>
      <c r="M142" t="s">
        <v>35</v>
      </c>
    </row>
    <row r="143" spans="1:13" x14ac:dyDescent="0.25">
      <c r="A143">
        <v>1795</v>
      </c>
      <c r="B143" s="2">
        <v>44778</v>
      </c>
      <c r="C143" t="s">
        <v>17</v>
      </c>
      <c r="D143" t="s">
        <v>21</v>
      </c>
      <c r="E143" t="s">
        <v>24</v>
      </c>
      <c r="F143" t="s">
        <v>28</v>
      </c>
      <c r="G143">
        <v>1</v>
      </c>
      <c r="H143">
        <v>197</v>
      </c>
      <c r="J143">
        <v>197</v>
      </c>
      <c r="K143">
        <v>38.296473269647009</v>
      </c>
      <c r="L143" t="s">
        <v>32</v>
      </c>
      <c r="M143" t="s">
        <v>36</v>
      </c>
    </row>
    <row r="144" spans="1:13" x14ac:dyDescent="0.25">
      <c r="A144">
        <v>1641</v>
      </c>
      <c r="B144" s="2">
        <v>44847</v>
      </c>
      <c r="C144" t="s">
        <v>19</v>
      </c>
      <c r="D144" t="s">
        <v>22</v>
      </c>
      <c r="E144" t="s">
        <v>25</v>
      </c>
      <c r="F144" t="s">
        <v>27</v>
      </c>
      <c r="G144">
        <v>3</v>
      </c>
      <c r="H144">
        <v>351</v>
      </c>
      <c r="I144">
        <v>0.1</v>
      </c>
      <c r="J144">
        <v>947.7</v>
      </c>
      <c r="K144">
        <v>279.35943743924048</v>
      </c>
      <c r="L144" t="s">
        <v>32</v>
      </c>
      <c r="M144" t="s">
        <v>35</v>
      </c>
    </row>
    <row r="145" spans="1:13" x14ac:dyDescent="0.25">
      <c r="A145">
        <v>1064</v>
      </c>
      <c r="B145" s="2">
        <v>44694</v>
      </c>
      <c r="C145" t="s">
        <v>16</v>
      </c>
      <c r="D145" t="s">
        <v>20</v>
      </c>
      <c r="E145" t="s">
        <v>24</v>
      </c>
      <c r="F145" t="s">
        <v>31</v>
      </c>
      <c r="G145">
        <v>3</v>
      </c>
      <c r="H145">
        <v>91</v>
      </c>
      <c r="I145">
        <v>0</v>
      </c>
      <c r="J145">
        <v>273</v>
      </c>
      <c r="K145">
        <v>75.514356190756047</v>
      </c>
      <c r="L145" t="s">
        <v>32</v>
      </c>
      <c r="M145" t="s">
        <v>35</v>
      </c>
    </row>
    <row r="146" spans="1:13" x14ac:dyDescent="0.25">
      <c r="A146">
        <v>1358</v>
      </c>
      <c r="B146" s="2">
        <v>44809</v>
      </c>
      <c r="C146" t="s">
        <v>13</v>
      </c>
      <c r="D146" t="s">
        <v>20</v>
      </c>
      <c r="E146" t="s">
        <v>25</v>
      </c>
      <c r="F146" t="s">
        <v>29</v>
      </c>
      <c r="G146">
        <v>1</v>
      </c>
      <c r="H146">
        <v>320</v>
      </c>
      <c r="J146">
        <v>320</v>
      </c>
      <c r="K146">
        <v>29.2763916236628</v>
      </c>
      <c r="L146" t="s">
        <v>32</v>
      </c>
      <c r="M146" t="s">
        <v>36</v>
      </c>
    </row>
    <row r="147" spans="1:13" x14ac:dyDescent="0.25">
      <c r="A147">
        <v>1384</v>
      </c>
      <c r="B147" s="2">
        <v>44800</v>
      </c>
      <c r="C147" t="s">
        <v>17</v>
      </c>
      <c r="D147" t="s">
        <v>22</v>
      </c>
      <c r="E147" t="s">
        <v>25</v>
      </c>
      <c r="F147" t="s">
        <v>31</v>
      </c>
      <c r="G147">
        <v>2</v>
      </c>
      <c r="H147">
        <v>381</v>
      </c>
      <c r="I147">
        <v>0.1</v>
      </c>
      <c r="J147">
        <v>685.80000000000007</v>
      </c>
      <c r="K147">
        <v>48.599917371429783</v>
      </c>
      <c r="L147" t="s">
        <v>32</v>
      </c>
      <c r="M147" t="s">
        <v>36</v>
      </c>
    </row>
    <row r="148" spans="1:13" x14ac:dyDescent="0.25">
      <c r="A148">
        <v>1857</v>
      </c>
      <c r="B148" s="2">
        <v>44751</v>
      </c>
      <c r="C148" t="s">
        <v>16</v>
      </c>
      <c r="D148" t="s">
        <v>20</v>
      </c>
      <c r="E148" t="s">
        <v>24</v>
      </c>
      <c r="F148" t="s">
        <v>31</v>
      </c>
      <c r="G148">
        <v>7</v>
      </c>
      <c r="H148">
        <v>185</v>
      </c>
      <c r="I148">
        <v>0.2</v>
      </c>
      <c r="J148">
        <v>1036</v>
      </c>
      <c r="K148">
        <v>137.32570180171791</v>
      </c>
      <c r="L148" t="s">
        <v>32</v>
      </c>
      <c r="M148" t="s">
        <v>34</v>
      </c>
    </row>
    <row r="149" spans="1:13" x14ac:dyDescent="0.25">
      <c r="A149">
        <v>1392</v>
      </c>
      <c r="B149" s="2">
        <v>44748</v>
      </c>
      <c r="C149" t="s">
        <v>18</v>
      </c>
      <c r="D149" t="s">
        <v>21</v>
      </c>
      <c r="E149" t="s">
        <v>26</v>
      </c>
      <c r="F149" t="s">
        <v>30</v>
      </c>
      <c r="G149">
        <v>8</v>
      </c>
      <c r="H149">
        <v>425</v>
      </c>
      <c r="I149">
        <v>0.3</v>
      </c>
      <c r="J149">
        <v>2380</v>
      </c>
      <c r="K149">
        <v>238.81145037090479</v>
      </c>
      <c r="L149" t="s">
        <v>32</v>
      </c>
      <c r="M149" t="s">
        <v>35</v>
      </c>
    </row>
    <row r="150" spans="1:13" x14ac:dyDescent="0.25">
      <c r="A150">
        <v>1270</v>
      </c>
      <c r="B150" s="2">
        <v>44565</v>
      </c>
      <c r="C150" t="s">
        <v>17</v>
      </c>
      <c r="D150" t="s">
        <v>20</v>
      </c>
      <c r="E150" t="s">
        <v>25</v>
      </c>
      <c r="F150" t="s">
        <v>31</v>
      </c>
      <c r="G150">
        <v>3</v>
      </c>
      <c r="H150">
        <v>212</v>
      </c>
      <c r="I150">
        <v>0.2</v>
      </c>
      <c r="J150">
        <v>508.8</v>
      </c>
      <c r="K150">
        <v>122.2546595118897</v>
      </c>
      <c r="L150" t="s">
        <v>32</v>
      </c>
      <c r="M150" t="s">
        <v>36</v>
      </c>
    </row>
    <row r="151" spans="1:13" x14ac:dyDescent="0.25">
      <c r="A151">
        <v>1216</v>
      </c>
      <c r="B151" s="2">
        <v>44685</v>
      </c>
      <c r="C151" t="s">
        <v>15</v>
      </c>
      <c r="D151" t="s">
        <v>21</v>
      </c>
      <c r="E151" t="s">
        <v>24</v>
      </c>
      <c r="F151" t="s">
        <v>29</v>
      </c>
      <c r="G151">
        <v>7</v>
      </c>
      <c r="H151">
        <v>28</v>
      </c>
      <c r="J151">
        <v>196</v>
      </c>
      <c r="K151">
        <v>22.027763792625802</v>
      </c>
      <c r="L151" t="s">
        <v>32</v>
      </c>
      <c r="M151" t="s">
        <v>36</v>
      </c>
    </row>
    <row r="152" spans="1:13" x14ac:dyDescent="0.25">
      <c r="A152">
        <v>1742</v>
      </c>
      <c r="B152" s="2">
        <v>44758</v>
      </c>
      <c r="C152" t="s">
        <v>15</v>
      </c>
      <c r="D152" t="s">
        <v>21</v>
      </c>
      <c r="E152" t="s">
        <v>24</v>
      </c>
      <c r="F152" t="s">
        <v>28</v>
      </c>
      <c r="G152">
        <v>3</v>
      </c>
      <c r="H152">
        <v>394</v>
      </c>
      <c r="I152">
        <v>0.1</v>
      </c>
      <c r="J152">
        <v>1063.8</v>
      </c>
      <c r="K152">
        <v>116.6978524169204</v>
      </c>
      <c r="L152" t="s">
        <v>32</v>
      </c>
      <c r="M152" t="s">
        <v>36</v>
      </c>
    </row>
    <row r="153" spans="1:13" x14ac:dyDescent="0.25">
      <c r="A153">
        <v>1702</v>
      </c>
      <c r="B153" s="2">
        <v>44659</v>
      </c>
      <c r="C153" t="s">
        <v>15</v>
      </c>
      <c r="D153" t="s">
        <v>21</v>
      </c>
      <c r="E153" t="s">
        <v>24</v>
      </c>
      <c r="F153" t="s">
        <v>27</v>
      </c>
      <c r="G153">
        <v>8</v>
      </c>
      <c r="H153">
        <v>98</v>
      </c>
      <c r="I153">
        <v>0</v>
      </c>
      <c r="J153">
        <v>784</v>
      </c>
      <c r="K153">
        <v>123.4127352968313</v>
      </c>
      <c r="L153" t="s">
        <v>32</v>
      </c>
      <c r="M153" t="s">
        <v>36</v>
      </c>
    </row>
    <row r="154" spans="1:13" x14ac:dyDescent="0.25">
      <c r="A154">
        <v>1004</v>
      </c>
      <c r="B154" s="2">
        <v>44741</v>
      </c>
      <c r="C154" t="s">
        <v>15</v>
      </c>
      <c r="D154" t="s">
        <v>22</v>
      </c>
      <c r="E154" t="s">
        <v>24</v>
      </c>
      <c r="F154" t="s">
        <v>28</v>
      </c>
      <c r="G154">
        <v>8</v>
      </c>
      <c r="H154">
        <v>252</v>
      </c>
      <c r="I154">
        <v>0.3</v>
      </c>
      <c r="J154">
        <v>1411.2</v>
      </c>
      <c r="K154">
        <v>262.98836352675619</v>
      </c>
      <c r="L154" t="s">
        <v>32</v>
      </c>
      <c r="M154" t="s">
        <v>34</v>
      </c>
    </row>
    <row r="155" spans="1:13" x14ac:dyDescent="0.25">
      <c r="A155">
        <v>1812</v>
      </c>
      <c r="B155" s="2">
        <v>44693</v>
      </c>
      <c r="C155" t="s">
        <v>13</v>
      </c>
      <c r="D155" t="s">
        <v>21</v>
      </c>
      <c r="E155" t="s">
        <v>25</v>
      </c>
      <c r="F155" t="s">
        <v>31</v>
      </c>
      <c r="G155">
        <v>8</v>
      </c>
      <c r="H155">
        <v>363</v>
      </c>
      <c r="I155">
        <v>0.1</v>
      </c>
      <c r="J155">
        <v>2613.6</v>
      </c>
      <c r="K155">
        <v>171.61760313772871</v>
      </c>
      <c r="L155" t="s">
        <v>33</v>
      </c>
      <c r="M155" t="s">
        <v>36</v>
      </c>
    </row>
    <row r="156" spans="1:13" x14ac:dyDescent="0.25">
      <c r="A156">
        <v>1484</v>
      </c>
      <c r="B156" s="2">
        <v>44620</v>
      </c>
      <c r="C156" t="s">
        <v>15</v>
      </c>
      <c r="D156" t="s">
        <v>22</v>
      </c>
      <c r="E156" t="s">
        <v>26</v>
      </c>
      <c r="F156" t="s">
        <v>31</v>
      </c>
      <c r="G156">
        <v>8</v>
      </c>
      <c r="H156">
        <v>255</v>
      </c>
      <c r="I156">
        <v>0.3</v>
      </c>
      <c r="J156">
        <v>1428</v>
      </c>
      <c r="K156">
        <v>249.27727856805291</v>
      </c>
      <c r="L156" t="s">
        <v>32</v>
      </c>
      <c r="M156" t="s">
        <v>35</v>
      </c>
    </row>
    <row r="157" spans="1:13" x14ac:dyDescent="0.25">
      <c r="A157">
        <v>1699</v>
      </c>
      <c r="B157" s="2">
        <v>44606</v>
      </c>
      <c r="C157" t="s">
        <v>18</v>
      </c>
      <c r="D157" t="s">
        <v>23</v>
      </c>
      <c r="E157" t="s">
        <v>25</v>
      </c>
      <c r="F157" t="s">
        <v>28</v>
      </c>
      <c r="G157">
        <v>3</v>
      </c>
      <c r="H157">
        <v>176</v>
      </c>
      <c r="I157">
        <v>0.1</v>
      </c>
      <c r="J157">
        <v>475.2</v>
      </c>
      <c r="K157">
        <v>118.11064295571759</v>
      </c>
      <c r="L157" t="s">
        <v>32</v>
      </c>
      <c r="M157" t="s">
        <v>36</v>
      </c>
    </row>
    <row r="158" spans="1:13" x14ac:dyDescent="0.25">
      <c r="A158">
        <v>1957</v>
      </c>
      <c r="B158" s="2">
        <v>44791</v>
      </c>
      <c r="C158" t="s">
        <v>16</v>
      </c>
      <c r="D158" t="s">
        <v>22</v>
      </c>
      <c r="E158" t="s">
        <v>25</v>
      </c>
      <c r="F158" t="s">
        <v>30</v>
      </c>
      <c r="G158">
        <v>3</v>
      </c>
      <c r="H158">
        <v>409</v>
      </c>
      <c r="J158">
        <v>1227</v>
      </c>
      <c r="K158">
        <v>363.0452117553944</v>
      </c>
      <c r="L158" t="s">
        <v>33</v>
      </c>
      <c r="M158" t="s">
        <v>36</v>
      </c>
    </row>
    <row r="159" spans="1:13" x14ac:dyDescent="0.25">
      <c r="A159">
        <v>1700</v>
      </c>
      <c r="B159" s="2">
        <v>44568</v>
      </c>
      <c r="C159" t="s">
        <v>15</v>
      </c>
      <c r="D159" t="s">
        <v>21</v>
      </c>
      <c r="E159" t="s">
        <v>26</v>
      </c>
      <c r="F159" t="s">
        <v>31</v>
      </c>
      <c r="G159">
        <v>8</v>
      </c>
      <c r="H159">
        <v>139</v>
      </c>
      <c r="I159">
        <v>0.1</v>
      </c>
      <c r="J159">
        <v>1000.8</v>
      </c>
      <c r="K159">
        <v>52.374771280738749</v>
      </c>
      <c r="L159" t="s">
        <v>32</v>
      </c>
      <c r="M159" t="s">
        <v>34</v>
      </c>
    </row>
    <row r="160" spans="1:13" x14ac:dyDescent="0.25">
      <c r="A160">
        <v>1957</v>
      </c>
      <c r="B160" s="2">
        <v>44612</v>
      </c>
      <c r="C160" t="s">
        <v>17</v>
      </c>
      <c r="D160" t="s">
        <v>23</v>
      </c>
      <c r="E160" t="s">
        <v>26</v>
      </c>
      <c r="F160" t="s">
        <v>27</v>
      </c>
      <c r="G160">
        <v>4</v>
      </c>
      <c r="H160">
        <v>481</v>
      </c>
      <c r="I160">
        <v>0.3</v>
      </c>
      <c r="J160">
        <v>1346.8</v>
      </c>
      <c r="K160">
        <v>262.62054122705177</v>
      </c>
      <c r="L160" t="s">
        <v>32</v>
      </c>
      <c r="M160" t="s">
        <v>35</v>
      </c>
    </row>
    <row r="161" spans="1:13" x14ac:dyDescent="0.25">
      <c r="A161">
        <v>1565</v>
      </c>
      <c r="B161" s="2">
        <v>44849</v>
      </c>
      <c r="C161" t="s">
        <v>19</v>
      </c>
      <c r="D161" t="s">
        <v>23</v>
      </c>
      <c r="E161" t="s">
        <v>25</v>
      </c>
      <c r="F161" t="s">
        <v>29</v>
      </c>
      <c r="G161">
        <v>3</v>
      </c>
      <c r="H161">
        <v>369</v>
      </c>
      <c r="I161">
        <v>0.1</v>
      </c>
      <c r="J161">
        <v>996.30000000000007</v>
      </c>
      <c r="K161">
        <v>81.264390505178525</v>
      </c>
      <c r="L161" t="s">
        <v>32</v>
      </c>
      <c r="M161" t="s">
        <v>34</v>
      </c>
    </row>
    <row r="162" spans="1:13" x14ac:dyDescent="0.25">
      <c r="A162">
        <v>1957</v>
      </c>
      <c r="B162" s="2">
        <v>44791</v>
      </c>
      <c r="C162" t="s">
        <v>16</v>
      </c>
      <c r="D162" t="s">
        <v>22</v>
      </c>
      <c r="E162" t="s">
        <v>25</v>
      </c>
      <c r="F162" t="s">
        <v>30</v>
      </c>
      <c r="G162">
        <v>3</v>
      </c>
      <c r="H162">
        <v>409</v>
      </c>
      <c r="J162">
        <v>1227</v>
      </c>
      <c r="K162">
        <v>363.0452117553944</v>
      </c>
      <c r="L162" t="s">
        <v>33</v>
      </c>
      <c r="M162" t="s">
        <v>36</v>
      </c>
    </row>
    <row r="163" spans="1:13" x14ac:dyDescent="0.25">
      <c r="A163">
        <v>1719</v>
      </c>
      <c r="B163" s="2">
        <v>44678</v>
      </c>
      <c r="C163" t="s">
        <v>16</v>
      </c>
      <c r="D163" t="s">
        <v>21</v>
      </c>
      <c r="E163" t="s">
        <v>24</v>
      </c>
      <c r="F163" t="s">
        <v>29</v>
      </c>
      <c r="G163">
        <v>7</v>
      </c>
      <c r="H163">
        <v>225</v>
      </c>
      <c r="I163">
        <v>0.3</v>
      </c>
      <c r="J163">
        <v>1102.5</v>
      </c>
      <c r="K163">
        <v>318.79190493612811</v>
      </c>
      <c r="L163" t="s">
        <v>33</v>
      </c>
      <c r="M163" t="s">
        <v>35</v>
      </c>
    </row>
    <row r="164" spans="1:13" x14ac:dyDescent="0.25">
      <c r="A164">
        <v>1681</v>
      </c>
      <c r="B164" s="2">
        <v>44604</v>
      </c>
      <c r="C164" t="s">
        <v>15</v>
      </c>
      <c r="D164" t="s">
        <v>20</v>
      </c>
      <c r="E164" t="s">
        <v>26</v>
      </c>
      <c r="F164" t="s">
        <v>29</v>
      </c>
      <c r="G164">
        <v>6</v>
      </c>
      <c r="H164">
        <v>394</v>
      </c>
      <c r="I164">
        <v>0</v>
      </c>
      <c r="J164">
        <v>2364</v>
      </c>
      <c r="K164">
        <v>484.37729843876582</v>
      </c>
      <c r="L164" t="s">
        <v>32</v>
      </c>
      <c r="M164" t="s">
        <v>36</v>
      </c>
    </row>
    <row r="165" spans="1:13" x14ac:dyDescent="0.25">
      <c r="A165">
        <v>1690</v>
      </c>
      <c r="B165" s="2">
        <v>44755</v>
      </c>
      <c r="C165" t="s">
        <v>13</v>
      </c>
      <c r="D165" t="s">
        <v>20</v>
      </c>
      <c r="E165" t="s">
        <v>26</v>
      </c>
      <c r="F165" t="s">
        <v>27</v>
      </c>
      <c r="G165">
        <v>4</v>
      </c>
      <c r="H165">
        <v>141</v>
      </c>
      <c r="I165">
        <v>0.2</v>
      </c>
      <c r="J165">
        <v>451.2</v>
      </c>
      <c r="K165">
        <v>121.5792328155502</v>
      </c>
      <c r="L165" t="s">
        <v>32</v>
      </c>
      <c r="M165" t="s">
        <v>36</v>
      </c>
    </row>
    <row r="166" spans="1:13" x14ac:dyDescent="0.25">
      <c r="A166">
        <v>1574</v>
      </c>
      <c r="B166" s="2">
        <v>44756</v>
      </c>
      <c r="C166" t="s">
        <v>18</v>
      </c>
      <c r="D166" t="s">
        <v>20</v>
      </c>
      <c r="E166" t="s">
        <v>25</v>
      </c>
      <c r="F166" t="s">
        <v>31</v>
      </c>
      <c r="G166">
        <v>6</v>
      </c>
      <c r="H166">
        <v>162</v>
      </c>
      <c r="J166">
        <v>972</v>
      </c>
      <c r="K166">
        <v>262.33839075322157</v>
      </c>
      <c r="L166" t="s">
        <v>32</v>
      </c>
      <c r="M166" t="s">
        <v>36</v>
      </c>
    </row>
    <row r="167" spans="1:13" x14ac:dyDescent="0.25">
      <c r="A167">
        <v>1187</v>
      </c>
      <c r="B167" s="2">
        <v>44687</v>
      </c>
      <c r="C167" t="s">
        <v>17</v>
      </c>
      <c r="D167" t="s">
        <v>21</v>
      </c>
      <c r="E167" t="s">
        <v>24</v>
      </c>
      <c r="F167" t="s">
        <v>31</v>
      </c>
      <c r="G167">
        <v>4</v>
      </c>
      <c r="H167">
        <v>451</v>
      </c>
      <c r="I167">
        <v>0.1</v>
      </c>
      <c r="J167">
        <v>1623.6</v>
      </c>
      <c r="K167">
        <v>389.41975471545152</v>
      </c>
      <c r="L167" t="s">
        <v>32</v>
      </c>
      <c r="M167" t="s">
        <v>35</v>
      </c>
    </row>
    <row r="168" spans="1:13" x14ac:dyDescent="0.25">
      <c r="A168">
        <v>1573</v>
      </c>
      <c r="B168" s="2">
        <v>44782</v>
      </c>
      <c r="C168" t="s">
        <v>18</v>
      </c>
      <c r="D168" t="s">
        <v>21</v>
      </c>
      <c r="E168" t="s">
        <v>24</v>
      </c>
      <c r="F168" t="s">
        <v>31</v>
      </c>
      <c r="G168">
        <v>6</v>
      </c>
      <c r="H168">
        <v>337</v>
      </c>
      <c r="I168">
        <v>0.2</v>
      </c>
      <c r="J168">
        <v>1617.6</v>
      </c>
      <c r="K168">
        <v>450.94242366380831</v>
      </c>
      <c r="L168" t="s">
        <v>32</v>
      </c>
      <c r="M168" t="s">
        <v>36</v>
      </c>
    </row>
    <row r="169" spans="1:13" x14ac:dyDescent="0.25">
      <c r="A169">
        <v>1826</v>
      </c>
      <c r="B169" s="2">
        <v>44822</v>
      </c>
      <c r="C169" t="s">
        <v>18</v>
      </c>
      <c r="D169" t="s">
        <v>21</v>
      </c>
      <c r="E169" t="s">
        <v>25</v>
      </c>
      <c r="F169" t="s">
        <v>31</v>
      </c>
      <c r="G169">
        <v>8</v>
      </c>
      <c r="H169">
        <v>307</v>
      </c>
      <c r="J169">
        <v>2456</v>
      </c>
      <c r="K169">
        <v>625.70499751105683</v>
      </c>
      <c r="L169" t="s">
        <v>32</v>
      </c>
      <c r="M169" t="s">
        <v>36</v>
      </c>
    </row>
    <row r="170" spans="1:13" x14ac:dyDescent="0.25">
      <c r="A170">
        <v>1243</v>
      </c>
      <c r="B170" s="2">
        <v>44616</v>
      </c>
      <c r="C170" t="s">
        <v>13</v>
      </c>
      <c r="D170" t="s">
        <v>21</v>
      </c>
      <c r="E170" t="s">
        <v>26</v>
      </c>
      <c r="F170" t="s">
        <v>31</v>
      </c>
      <c r="G170">
        <v>3</v>
      </c>
      <c r="H170">
        <v>46</v>
      </c>
      <c r="I170">
        <v>0.2</v>
      </c>
      <c r="J170">
        <v>110.4</v>
      </c>
      <c r="K170">
        <v>24.190515067447599</v>
      </c>
      <c r="L170" t="s">
        <v>32</v>
      </c>
      <c r="M170" t="s">
        <v>36</v>
      </c>
    </row>
    <row r="171" spans="1:13" x14ac:dyDescent="0.25">
      <c r="A171">
        <v>1459</v>
      </c>
      <c r="B171" s="2">
        <v>44594</v>
      </c>
      <c r="C171" t="s">
        <v>13</v>
      </c>
      <c r="D171" t="s">
        <v>23</v>
      </c>
      <c r="E171" t="s">
        <v>24</v>
      </c>
      <c r="F171" t="s">
        <v>30</v>
      </c>
      <c r="G171">
        <v>9</v>
      </c>
      <c r="H171">
        <v>45</v>
      </c>
      <c r="J171">
        <v>405</v>
      </c>
      <c r="K171">
        <v>121.1288516847588</v>
      </c>
      <c r="L171" t="s">
        <v>32</v>
      </c>
      <c r="M171" t="s">
        <v>34</v>
      </c>
    </row>
    <row r="172" spans="1:13" x14ac:dyDescent="0.25">
      <c r="A172">
        <v>1014</v>
      </c>
      <c r="B172" s="2">
        <v>44750</v>
      </c>
      <c r="C172" t="s">
        <v>18</v>
      </c>
      <c r="D172" t="s">
        <v>22</v>
      </c>
      <c r="E172" t="s">
        <v>24</v>
      </c>
      <c r="F172" t="s">
        <v>30</v>
      </c>
      <c r="G172">
        <v>9</v>
      </c>
      <c r="H172">
        <v>213</v>
      </c>
      <c r="I172">
        <v>0.2</v>
      </c>
      <c r="J172">
        <v>1533.6</v>
      </c>
      <c r="K172">
        <v>139.82841590594231</v>
      </c>
      <c r="L172" t="s">
        <v>32</v>
      </c>
      <c r="M172" t="s">
        <v>36</v>
      </c>
    </row>
    <row r="173" spans="1:13" x14ac:dyDescent="0.25">
      <c r="A173">
        <v>1838</v>
      </c>
      <c r="B173" s="2">
        <v>44696</v>
      </c>
      <c r="C173" t="s">
        <v>15</v>
      </c>
      <c r="D173" t="s">
        <v>21</v>
      </c>
      <c r="E173" t="s">
        <v>24</v>
      </c>
      <c r="F173" t="s">
        <v>27</v>
      </c>
      <c r="G173">
        <v>3</v>
      </c>
      <c r="H173">
        <v>83</v>
      </c>
      <c r="I173">
        <v>0</v>
      </c>
      <c r="J173">
        <v>249</v>
      </c>
      <c r="K173">
        <v>45.593187471632262</v>
      </c>
      <c r="L173" t="s">
        <v>33</v>
      </c>
      <c r="M173" t="s">
        <v>35</v>
      </c>
    </row>
    <row r="174" spans="1:13" x14ac:dyDescent="0.25">
      <c r="A174">
        <v>1856</v>
      </c>
      <c r="B174" s="2">
        <v>44695</v>
      </c>
      <c r="C174" t="s">
        <v>15</v>
      </c>
      <c r="D174" t="s">
        <v>21</v>
      </c>
      <c r="E174" t="s">
        <v>26</v>
      </c>
      <c r="F174" t="s">
        <v>29</v>
      </c>
      <c r="G174">
        <v>2</v>
      </c>
      <c r="H174">
        <v>414</v>
      </c>
      <c r="I174">
        <v>0.1</v>
      </c>
      <c r="J174">
        <v>745.2</v>
      </c>
      <c r="K174">
        <v>63.201412639207987</v>
      </c>
      <c r="L174" t="s">
        <v>32</v>
      </c>
      <c r="M174" t="s">
        <v>35</v>
      </c>
    </row>
    <row r="175" spans="1:13" x14ac:dyDescent="0.25">
      <c r="A175">
        <v>1821</v>
      </c>
      <c r="B175" s="2">
        <v>44657</v>
      </c>
      <c r="C175" t="s">
        <v>15</v>
      </c>
      <c r="D175" t="s">
        <v>21</v>
      </c>
      <c r="E175" t="s">
        <v>24</v>
      </c>
      <c r="F175" t="s">
        <v>29</v>
      </c>
      <c r="G175">
        <v>7</v>
      </c>
      <c r="H175">
        <v>328</v>
      </c>
      <c r="J175">
        <v>2296</v>
      </c>
      <c r="K175">
        <v>654.74988669620541</v>
      </c>
      <c r="L175" t="s">
        <v>32</v>
      </c>
      <c r="M175" t="s">
        <v>34</v>
      </c>
    </row>
    <row r="176" spans="1:13" x14ac:dyDescent="0.25">
      <c r="A176">
        <v>1376</v>
      </c>
      <c r="B176" s="2">
        <v>44801</v>
      </c>
      <c r="C176" t="s">
        <v>13</v>
      </c>
      <c r="D176" t="s">
        <v>22</v>
      </c>
      <c r="E176" t="s">
        <v>25</v>
      </c>
      <c r="F176" t="s">
        <v>30</v>
      </c>
      <c r="G176">
        <v>8</v>
      </c>
      <c r="H176">
        <v>33</v>
      </c>
      <c r="I176">
        <v>0</v>
      </c>
      <c r="J176">
        <v>264</v>
      </c>
      <c r="K176">
        <v>71.439480314884349</v>
      </c>
      <c r="L176" t="s">
        <v>32</v>
      </c>
      <c r="M176" t="s">
        <v>36</v>
      </c>
    </row>
    <row r="177" spans="1:13" x14ac:dyDescent="0.25">
      <c r="A177">
        <v>1217</v>
      </c>
      <c r="B177" s="2">
        <v>44742</v>
      </c>
      <c r="C177" t="s">
        <v>15</v>
      </c>
      <c r="D177" t="s">
        <v>20</v>
      </c>
      <c r="E177" t="s">
        <v>26</v>
      </c>
      <c r="F177" t="s">
        <v>31</v>
      </c>
      <c r="G177">
        <v>4</v>
      </c>
      <c r="H177">
        <v>480</v>
      </c>
      <c r="J177">
        <v>1920</v>
      </c>
      <c r="K177">
        <v>125.89109082330511</v>
      </c>
      <c r="L177" t="s">
        <v>32</v>
      </c>
      <c r="M177" t="s">
        <v>36</v>
      </c>
    </row>
    <row r="178" spans="1:13" x14ac:dyDescent="0.25">
      <c r="A178">
        <v>1725</v>
      </c>
      <c r="B178" s="2">
        <v>44731</v>
      </c>
      <c r="C178" t="s">
        <v>18</v>
      </c>
      <c r="D178" t="s">
        <v>23</v>
      </c>
      <c r="E178" t="s">
        <v>25</v>
      </c>
      <c r="F178" t="s">
        <v>31</v>
      </c>
      <c r="G178">
        <v>2</v>
      </c>
      <c r="H178">
        <v>167</v>
      </c>
      <c r="J178">
        <v>334</v>
      </c>
      <c r="K178">
        <v>23.52406636985598</v>
      </c>
      <c r="L178" t="s">
        <v>32</v>
      </c>
      <c r="M178" t="s">
        <v>36</v>
      </c>
    </row>
    <row r="179" spans="1:13" x14ac:dyDescent="0.25">
      <c r="A179">
        <v>1805</v>
      </c>
      <c r="B179" s="2">
        <v>44588</v>
      </c>
      <c r="C179" t="s">
        <v>13</v>
      </c>
      <c r="D179" t="s">
        <v>23</v>
      </c>
      <c r="E179" t="s">
        <v>24</v>
      </c>
      <c r="F179" t="s">
        <v>31</v>
      </c>
      <c r="G179">
        <v>9</v>
      </c>
      <c r="H179">
        <v>98</v>
      </c>
      <c r="I179">
        <v>0.3</v>
      </c>
      <c r="J179">
        <v>617.4</v>
      </c>
      <c r="K179">
        <v>178.74864165642629</v>
      </c>
      <c r="L179" t="s">
        <v>33</v>
      </c>
      <c r="M179" t="s">
        <v>35</v>
      </c>
    </row>
    <row r="180" spans="1:13" x14ac:dyDescent="0.25">
      <c r="A180">
        <v>1389</v>
      </c>
      <c r="B180" s="2">
        <v>44653</v>
      </c>
      <c r="C180" t="s">
        <v>16</v>
      </c>
      <c r="D180" t="s">
        <v>23</v>
      </c>
      <c r="E180" t="s">
        <v>24</v>
      </c>
      <c r="F180" t="s">
        <v>31</v>
      </c>
      <c r="G180">
        <v>5</v>
      </c>
      <c r="H180">
        <v>449</v>
      </c>
      <c r="I180">
        <v>0.2</v>
      </c>
      <c r="J180">
        <v>1796</v>
      </c>
      <c r="K180">
        <v>463.2319726104223</v>
      </c>
      <c r="L180" t="s">
        <v>32</v>
      </c>
      <c r="M180" t="s">
        <v>36</v>
      </c>
    </row>
    <row r="181" spans="1:13" x14ac:dyDescent="0.25">
      <c r="A181">
        <v>1957</v>
      </c>
      <c r="B181" s="2">
        <v>44665</v>
      </c>
      <c r="C181" t="s">
        <v>15</v>
      </c>
      <c r="D181" t="s">
        <v>21</v>
      </c>
      <c r="E181" t="s">
        <v>24</v>
      </c>
      <c r="F181" t="s">
        <v>29</v>
      </c>
      <c r="G181">
        <v>5</v>
      </c>
      <c r="H181">
        <v>368</v>
      </c>
      <c r="I181">
        <v>0.1</v>
      </c>
      <c r="J181">
        <v>1656</v>
      </c>
      <c r="K181">
        <v>282.7491130433371</v>
      </c>
      <c r="L181" t="s">
        <v>32</v>
      </c>
      <c r="M181" t="s">
        <v>35</v>
      </c>
    </row>
    <row r="182" spans="1:13" x14ac:dyDescent="0.25">
      <c r="A182">
        <v>1624</v>
      </c>
      <c r="B182" s="2">
        <v>44841</v>
      </c>
      <c r="C182" t="s">
        <v>19</v>
      </c>
      <c r="D182" t="s">
        <v>20</v>
      </c>
      <c r="E182" t="s">
        <v>26</v>
      </c>
      <c r="F182" t="s">
        <v>29</v>
      </c>
      <c r="G182">
        <v>1</v>
      </c>
      <c r="H182">
        <v>112</v>
      </c>
      <c r="I182">
        <v>0.3</v>
      </c>
      <c r="J182">
        <v>78.399999999999991</v>
      </c>
      <c r="K182">
        <v>18.59699620448081</v>
      </c>
      <c r="L182" t="s">
        <v>32</v>
      </c>
      <c r="M182" t="s">
        <v>35</v>
      </c>
    </row>
    <row r="183" spans="1:13" x14ac:dyDescent="0.25">
      <c r="A183">
        <v>1676</v>
      </c>
      <c r="B183" s="2">
        <v>44815</v>
      </c>
      <c r="C183" t="s">
        <v>16</v>
      </c>
      <c r="D183" t="s">
        <v>21</v>
      </c>
      <c r="E183" t="s">
        <v>26</v>
      </c>
      <c r="F183" t="s">
        <v>28</v>
      </c>
      <c r="G183">
        <v>8</v>
      </c>
      <c r="H183">
        <v>375</v>
      </c>
      <c r="I183">
        <v>0.3</v>
      </c>
      <c r="J183">
        <v>2100</v>
      </c>
      <c r="K183">
        <v>381.88480161440509</v>
      </c>
      <c r="L183" t="s">
        <v>32</v>
      </c>
      <c r="M183" t="s">
        <v>34</v>
      </c>
    </row>
    <row r="184" spans="1:13" x14ac:dyDescent="0.25">
      <c r="A184">
        <v>1671</v>
      </c>
      <c r="B184" s="2">
        <v>44861</v>
      </c>
      <c r="C184" t="s">
        <v>19</v>
      </c>
      <c r="D184" t="s">
        <v>20</v>
      </c>
      <c r="E184" t="s">
        <v>25</v>
      </c>
      <c r="F184" t="s">
        <v>31</v>
      </c>
      <c r="G184">
        <v>6</v>
      </c>
      <c r="H184">
        <v>39</v>
      </c>
      <c r="I184">
        <v>0.2</v>
      </c>
      <c r="J184">
        <v>187.2</v>
      </c>
      <c r="K184">
        <v>33.35224244718848</v>
      </c>
      <c r="L184" t="s">
        <v>32</v>
      </c>
      <c r="M184" t="s">
        <v>34</v>
      </c>
    </row>
    <row r="185" spans="1:13" x14ac:dyDescent="0.25">
      <c r="A185">
        <v>1337</v>
      </c>
      <c r="B185" s="2">
        <v>44680</v>
      </c>
      <c r="C185" t="s">
        <v>16</v>
      </c>
      <c r="D185" t="s">
        <v>23</v>
      </c>
      <c r="E185" t="s">
        <v>25</v>
      </c>
      <c r="F185" t="s">
        <v>29</v>
      </c>
      <c r="G185">
        <v>7</v>
      </c>
      <c r="H185">
        <v>292</v>
      </c>
      <c r="I185">
        <v>0.1</v>
      </c>
      <c r="J185">
        <v>1839.6</v>
      </c>
      <c r="K185">
        <v>118.2194662574619</v>
      </c>
      <c r="L185" t="s">
        <v>32</v>
      </c>
      <c r="M185" t="s">
        <v>36</v>
      </c>
    </row>
    <row r="186" spans="1:13" x14ac:dyDescent="0.25">
      <c r="A186">
        <v>1034</v>
      </c>
      <c r="B186" s="2">
        <v>44645</v>
      </c>
      <c r="C186" t="s">
        <v>16</v>
      </c>
      <c r="D186" t="s">
        <v>20</v>
      </c>
      <c r="E186" t="s">
        <v>24</v>
      </c>
      <c r="F186" t="s">
        <v>28</v>
      </c>
      <c r="G186">
        <v>3</v>
      </c>
      <c r="H186">
        <v>299</v>
      </c>
      <c r="I186">
        <v>0.1</v>
      </c>
      <c r="J186">
        <v>807.30000000000007</v>
      </c>
      <c r="K186">
        <v>117.8320855238866</v>
      </c>
      <c r="L186" t="s">
        <v>32</v>
      </c>
      <c r="M186" t="s">
        <v>35</v>
      </c>
    </row>
    <row r="187" spans="1:13" x14ac:dyDescent="0.25">
      <c r="A187">
        <v>1744</v>
      </c>
      <c r="B187" s="2">
        <v>44807</v>
      </c>
      <c r="C187" t="s">
        <v>16</v>
      </c>
      <c r="D187" t="s">
        <v>23</v>
      </c>
      <c r="E187" t="s">
        <v>26</v>
      </c>
      <c r="F187" t="s">
        <v>27</v>
      </c>
      <c r="G187">
        <v>5</v>
      </c>
      <c r="H187">
        <v>416</v>
      </c>
      <c r="I187">
        <v>0.3</v>
      </c>
      <c r="J187">
        <v>1456</v>
      </c>
      <c r="K187">
        <v>315.92287956452031</v>
      </c>
      <c r="L187" t="s">
        <v>32</v>
      </c>
      <c r="M187" t="s">
        <v>35</v>
      </c>
    </row>
    <row r="188" spans="1:13" x14ac:dyDescent="0.25">
      <c r="A188">
        <v>1387</v>
      </c>
      <c r="B188" s="2">
        <v>44651</v>
      </c>
      <c r="C188" t="s">
        <v>18</v>
      </c>
      <c r="D188" t="s">
        <v>21</v>
      </c>
      <c r="E188" t="s">
        <v>26</v>
      </c>
      <c r="F188" t="s">
        <v>31</v>
      </c>
      <c r="G188">
        <v>2</v>
      </c>
      <c r="H188">
        <v>91</v>
      </c>
      <c r="J188">
        <v>182</v>
      </c>
      <c r="K188">
        <v>10.291950238208949</v>
      </c>
      <c r="L188" t="s">
        <v>32</v>
      </c>
      <c r="M188" t="s">
        <v>36</v>
      </c>
    </row>
    <row r="189" spans="1:13" x14ac:dyDescent="0.25">
      <c r="A189">
        <v>1791</v>
      </c>
      <c r="B189" s="2">
        <v>44683</v>
      </c>
      <c r="C189" t="s">
        <v>19</v>
      </c>
      <c r="D189" t="s">
        <v>20</v>
      </c>
      <c r="E189" t="s">
        <v>24</v>
      </c>
      <c r="F189" t="s">
        <v>27</v>
      </c>
      <c r="G189">
        <v>8</v>
      </c>
      <c r="H189">
        <v>359</v>
      </c>
      <c r="J189">
        <v>2872</v>
      </c>
      <c r="K189">
        <v>320.93077773369589</v>
      </c>
      <c r="L189" t="s">
        <v>32</v>
      </c>
      <c r="M189" t="s">
        <v>35</v>
      </c>
    </row>
    <row r="190" spans="1:13" x14ac:dyDescent="0.25">
      <c r="A190">
        <v>1095</v>
      </c>
      <c r="B190" s="2">
        <v>44761</v>
      </c>
      <c r="C190" t="s">
        <v>13</v>
      </c>
      <c r="D190" t="s">
        <v>22</v>
      </c>
      <c r="E190" t="s">
        <v>26</v>
      </c>
      <c r="F190" t="s">
        <v>28</v>
      </c>
      <c r="G190">
        <v>9</v>
      </c>
      <c r="H190">
        <v>379</v>
      </c>
      <c r="J190">
        <v>3411</v>
      </c>
      <c r="K190">
        <v>828.88363917334436</v>
      </c>
      <c r="L190" t="s">
        <v>32</v>
      </c>
      <c r="M190" t="s">
        <v>35</v>
      </c>
    </row>
    <row r="191" spans="1:13" x14ac:dyDescent="0.25">
      <c r="A191">
        <v>1986</v>
      </c>
      <c r="B191" s="2">
        <v>44732</v>
      </c>
      <c r="C191" t="s">
        <v>17</v>
      </c>
      <c r="D191" t="s">
        <v>21</v>
      </c>
      <c r="E191" t="s">
        <v>26</v>
      </c>
      <c r="F191" t="s">
        <v>29</v>
      </c>
      <c r="G191">
        <v>4</v>
      </c>
      <c r="H191">
        <v>180</v>
      </c>
      <c r="I191">
        <v>0.2</v>
      </c>
      <c r="J191">
        <v>576</v>
      </c>
      <c r="K191">
        <v>94.79529238012654</v>
      </c>
      <c r="L191" t="s">
        <v>32</v>
      </c>
      <c r="M191" t="s">
        <v>36</v>
      </c>
    </row>
    <row r="192" spans="1:13" x14ac:dyDescent="0.25">
      <c r="A192">
        <v>1191</v>
      </c>
      <c r="B192" s="2">
        <v>44590</v>
      </c>
      <c r="C192" t="s">
        <v>18</v>
      </c>
      <c r="D192" t="s">
        <v>20</v>
      </c>
      <c r="E192" t="s">
        <v>25</v>
      </c>
      <c r="F192" t="s">
        <v>29</v>
      </c>
      <c r="G192">
        <v>7</v>
      </c>
      <c r="H192">
        <v>454</v>
      </c>
      <c r="I192">
        <v>0.3</v>
      </c>
      <c r="J192">
        <v>2224.6</v>
      </c>
      <c r="K192">
        <v>293.05301842642268</v>
      </c>
      <c r="L192" t="s">
        <v>32</v>
      </c>
      <c r="M192" t="s">
        <v>36</v>
      </c>
    </row>
    <row r="193" spans="1:13" x14ac:dyDescent="0.25">
      <c r="A193">
        <v>1654</v>
      </c>
      <c r="B193" s="2">
        <v>44768</v>
      </c>
      <c r="C193" t="s">
        <v>17</v>
      </c>
      <c r="D193" t="s">
        <v>22</v>
      </c>
      <c r="E193" t="s">
        <v>26</v>
      </c>
      <c r="F193" t="s">
        <v>29</v>
      </c>
      <c r="G193">
        <v>6</v>
      </c>
      <c r="H193">
        <v>281</v>
      </c>
      <c r="I193">
        <v>0.3</v>
      </c>
      <c r="J193">
        <v>1180.2</v>
      </c>
      <c r="K193">
        <v>90.130015172203841</v>
      </c>
      <c r="L193" t="s">
        <v>32</v>
      </c>
      <c r="M193" t="s">
        <v>36</v>
      </c>
    </row>
    <row r="194" spans="1:13" x14ac:dyDescent="0.25">
      <c r="A194">
        <v>1724</v>
      </c>
      <c r="B194" s="2">
        <v>44677</v>
      </c>
      <c r="C194" t="s">
        <v>19</v>
      </c>
      <c r="D194" t="s">
        <v>20</v>
      </c>
      <c r="E194" t="s">
        <v>26</v>
      </c>
      <c r="F194" t="s">
        <v>27</v>
      </c>
      <c r="G194">
        <v>6</v>
      </c>
      <c r="H194">
        <v>241</v>
      </c>
      <c r="J194">
        <v>1446</v>
      </c>
      <c r="K194">
        <v>309.78928899057098</v>
      </c>
      <c r="L194" t="s">
        <v>33</v>
      </c>
      <c r="M194" t="s">
        <v>35</v>
      </c>
    </row>
    <row r="195" spans="1:13" x14ac:dyDescent="0.25">
      <c r="A195">
        <v>1619</v>
      </c>
      <c r="B195" s="2">
        <v>44787</v>
      </c>
      <c r="C195" t="s">
        <v>18</v>
      </c>
      <c r="D195" t="s">
        <v>23</v>
      </c>
      <c r="E195" t="s">
        <v>25</v>
      </c>
      <c r="F195" t="s">
        <v>31</v>
      </c>
      <c r="G195">
        <v>5</v>
      </c>
      <c r="H195">
        <v>478</v>
      </c>
      <c r="I195">
        <v>0.2</v>
      </c>
      <c r="J195">
        <v>1912</v>
      </c>
      <c r="K195">
        <v>247.01208163827781</v>
      </c>
      <c r="L195" t="s">
        <v>32</v>
      </c>
      <c r="M195" t="s">
        <v>36</v>
      </c>
    </row>
    <row r="196" spans="1:13" x14ac:dyDescent="0.25">
      <c r="A196">
        <v>1214</v>
      </c>
      <c r="B196" s="2">
        <v>44573</v>
      </c>
      <c r="C196" t="s">
        <v>18</v>
      </c>
      <c r="D196" t="s">
        <v>23</v>
      </c>
      <c r="E196" t="s">
        <v>26</v>
      </c>
      <c r="F196" t="s">
        <v>31</v>
      </c>
      <c r="G196">
        <v>6</v>
      </c>
      <c r="H196">
        <v>194</v>
      </c>
      <c r="I196">
        <v>0.1</v>
      </c>
      <c r="J196">
        <v>1047.5999999999999</v>
      </c>
      <c r="K196">
        <v>157.53136132407141</v>
      </c>
      <c r="L196" t="s">
        <v>32</v>
      </c>
      <c r="M196" t="s">
        <v>36</v>
      </c>
    </row>
    <row r="197" spans="1:13" x14ac:dyDescent="0.25">
      <c r="A197">
        <v>1099</v>
      </c>
      <c r="B197" s="2">
        <v>44578</v>
      </c>
      <c r="C197" t="s">
        <v>15</v>
      </c>
      <c r="D197" t="s">
        <v>20</v>
      </c>
      <c r="E197" t="s">
        <v>26</v>
      </c>
      <c r="F197" t="s">
        <v>27</v>
      </c>
      <c r="G197">
        <v>5</v>
      </c>
      <c r="H197">
        <v>246</v>
      </c>
      <c r="I197">
        <v>0.1</v>
      </c>
      <c r="J197">
        <v>1107</v>
      </c>
      <c r="K197">
        <v>225.82397335950461</v>
      </c>
      <c r="L197" t="s">
        <v>32</v>
      </c>
      <c r="M197" t="s">
        <v>35</v>
      </c>
    </row>
    <row r="198" spans="1:13" x14ac:dyDescent="0.25">
      <c r="A198">
        <v>1170</v>
      </c>
      <c r="B198" s="2">
        <v>44769</v>
      </c>
      <c r="C198" t="s">
        <v>13</v>
      </c>
      <c r="D198" t="s">
        <v>20</v>
      </c>
      <c r="E198" t="s">
        <v>24</v>
      </c>
      <c r="F198" t="s">
        <v>28</v>
      </c>
      <c r="G198">
        <v>7</v>
      </c>
      <c r="H198">
        <v>92</v>
      </c>
      <c r="I198">
        <v>0.3</v>
      </c>
      <c r="J198">
        <v>450.8</v>
      </c>
      <c r="K198">
        <v>96.55911780242792</v>
      </c>
      <c r="L198" t="s">
        <v>32</v>
      </c>
      <c r="M198" t="s">
        <v>36</v>
      </c>
    </row>
    <row r="199" spans="1:13" x14ac:dyDescent="0.25">
      <c r="A199">
        <v>1461</v>
      </c>
      <c r="B199" s="2">
        <v>44672</v>
      </c>
      <c r="C199" t="s">
        <v>14</v>
      </c>
      <c r="D199" t="s">
        <v>22</v>
      </c>
      <c r="E199" t="s">
        <v>25</v>
      </c>
      <c r="F199" t="s">
        <v>29</v>
      </c>
      <c r="G199">
        <v>9</v>
      </c>
      <c r="H199">
        <v>406</v>
      </c>
      <c r="I199">
        <v>0</v>
      </c>
      <c r="J199">
        <v>3654</v>
      </c>
      <c r="K199">
        <v>881.99603322837868</v>
      </c>
      <c r="L199" t="s">
        <v>32</v>
      </c>
      <c r="M199" t="s">
        <v>36</v>
      </c>
    </row>
    <row r="200" spans="1:13" x14ac:dyDescent="0.25">
      <c r="A200">
        <v>1014</v>
      </c>
      <c r="B200" s="2">
        <v>44692</v>
      </c>
      <c r="C200" t="s">
        <v>16</v>
      </c>
      <c r="D200" t="s">
        <v>22</v>
      </c>
      <c r="E200" t="s">
        <v>25</v>
      </c>
      <c r="F200" t="s">
        <v>30</v>
      </c>
      <c r="G200">
        <v>1</v>
      </c>
      <c r="H200">
        <v>405</v>
      </c>
      <c r="I200">
        <v>0.1</v>
      </c>
      <c r="J200">
        <v>364.5</v>
      </c>
      <c r="K200">
        <v>21.288039316701632</v>
      </c>
      <c r="L200" t="s">
        <v>32</v>
      </c>
      <c r="M200" t="s">
        <v>36</v>
      </c>
    </row>
    <row r="201" spans="1:13" x14ac:dyDescent="0.25">
      <c r="A201">
        <v>1040</v>
      </c>
      <c r="B201" s="2">
        <v>44714</v>
      </c>
      <c r="C201" t="s">
        <v>13</v>
      </c>
      <c r="D201" t="s">
        <v>23</v>
      </c>
      <c r="E201" t="s">
        <v>24</v>
      </c>
      <c r="F201" t="s">
        <v>29</v>
      </c>
      <c r="G201">
        <v>2</v>
      </c>
      <c r="H201">
        <v>444</v>
      </c>
      <c r="I201">
        <v>0</v>
      </c>
      <c r="J201">
        <v>888</v>
      </c>
      <c r="K201">
        <v>147.39301204481069</v>
      </c>
      <c r="L201" t="s">
        <v>32</v>
      </c>
      <c r="M201" t="s">
        <v>36</v>
      </c>
    </row>
    <row r="202" spans="1:13" x14ac:dyDescent="0.25">
      <c r="A202">
        <v>1406</v>
      </c>
      <c r="B202" s="2">
        <v>44724</v>
      </c>
      <c r="C202" t="s">
        <v>15</v>
      </c>
      <c r="D202" t="s">
        <v>21</v>
      </c>
      <c r="E202" t="s">
        <v>25</v>
      </c>
      <c r="F202" t="s">
        <v>28</v>
      </c>
      <c r="G202">
        <v>7</v>
      </c>
      <c r="H202">
        <v>65</v>
      </c>
      <c r="I202">
        <v>0.3</v>
      </c>
      <c r="J202">
        <v>318.5</v>
      </c>
      <c r="K202">
        <v>57.600001318183928</v>
      </c>
      <c r="L202" t="s">
        <v>32</v>
      </c>
      <c r="M202" t="s">
        <v>34</v>
      </c>
    </row>
    <row r="203" spans="1:13" x14ac:dyDescent="0.25">
      <c r="A203">
        <v>1080</v>
      </c>
      <c r="B203" s="2">
        <v>44843</v>
      </c>
      <c r="C203" t="s">
        <v>15</v>
      </c>
      <c r="D203" t="s">
        <v>22</v>
      </c>
      <c r="E203" t="s">
        <v>24</v>
      </c>
      <c r="F203" t="s">
        <v>31</v>
      </c>
      <c r="G203">
        <v>1</v>
      </c>
      <c r="H203">
        <v>466</v>
      </c>
      <c r="I203">
        <v>0</v>
      </c>
      <c r="J203">
        <v>466</v>
      </c>
      <c r="K203">
        <v>95.638178111237238</v>
      </c>
      <c r="L203" t="s">
        <v>32</v>
      </c>
      <c r="M203" t="s">
        <v>35</v>
      </c>
    </row>
    <row r="204" spans="1:13" x14ac:dyDescent="0.25">
      <c r="A204">
        <v>1138</v>
      </c>
      <c r="B204" s="2">
        <v>44703</v>
      </c>
      <c r="C204" t="s">
        <v>14</v>
      </c>
      <c r="D204" t="s">
        <v>22</v>
      </c>
      <c r="E204" t="s">
        <v>26</v>
      </c>
      <c r="F204" t="s">
        <v>29</v>
      </c>
      <c r="G204">
        <v>1</v>
      </c>
      <c r="H204">
        <v>339</v>
      </c>
      <c r="I204">
        <v>0.2</v>
      </c>
      <c r="J204">
        <v>271.2</v>
      </c>
      <c r="K204">
        <v>51.539402838712881</v>
      </c>
      <c r="L204" t="s">
        <v>32</v>
      </c>
      <c r="M204" t="s">
        <v>34</v>
      </c>
    </row>
    <row r="205" spans="1:13" x14ac:dyDescent="0.25">
      <c r="A205">
        <v>1795</v>
      </c>
      <c r="B205" s="2">
        <v>44785</v>
      </c>
      <c r="C205" t="s">
        <v>15</v>
      </c>
      <c r="D205" t="s">
        <v>21</v>
      </c>
      <c r="E205" t="s">
        <v>24</v>
      </c>
      <c r="F205" t="s">
        <v>29</v>
      </c>
      <c r="G205">
        <v>9</v>
      </c>
      <c r="H205">
        <v>402</v>
      </c>
      <c r="J205">
        <v>3618</v>
      </c>
      <c r="K205">
        <v>810.34075238368189</v>
      </c>
      <c r="L205" t="s">
        <v>32</v>
      </c>
      <c r="M205" t="s">
        <v>35</v>
      </c>
    </row>
    <row r="206" spans="1:13" x14ac:dyDescent="0.25">
      <c r="A206">
        <v>1508</v>
      </c>
      <c r="B206" s="2">
        <v>44642</v>
      </c>
      <c r="C206" t="s">
        <v>16</v>
      </c>
      <c r="D206" t="s">
        <v>20</v>
      </c>
      <c r="E206" t="s">
        <v>26</v>
      </c>
      <c r="F206" t="s">
        <v>31</v>
      </c>
      <c r="G206">
        <v>8</v>
      </c>
      <c r="H206">
        <v>182</v>
      </c>
      <c r="I206">
        <v>0.2</v>
      </c>
      <c r="J206">
        <v>1164.8</v>
      </c>
      <c r="K206">
        <v>92.699498796890381</v>
      </c>
      <c r="L206" t="s">
        <v>32</v>
      </c>
      <c r="M206" t="s">
        <v>36</v>
      </c>
    </row>
    <row r="207" spans="1:13" x14ac:dyDescent="0.25">
      <c r="A207">
        <v>1435</v>
      </c>
      <c r="B207" s="2">
        <v>44563</v>
      </c>
      <c r="C207" t="s">
        <v>17</v>
      </c>
      <c r="D207" t="s">
        <v>21</v>
      </c>
      <c r="E207" t="s">
        <v>25</v>
      </c>
      <c r="F207" t="s">
        <v>27</v>
      </c>
      <c r="G207">
        <v>1</v>
      </c>
      <c r="H207">
        <v>413</v>
      </c>
      <c r="I207">
        <v>0.1</v>
      </c>
      <c r="J207">
        <v>371.7</v>
      </c>
      <c r="K207">
        <v>99.738531956365563</v>
      </c>
      <c r="L207" t="s">
        <v>32</v>
      </c>
      <c r="M207" t="s">
        <v>35</v>
      </c>
    </row>
    <row r="208" spans="1:13" x14ac:dyDescent="0.25">
      <c r="A208">
        <v>1427</v>
      </c>
      <c r="B208" s="2">
        <v>44641</v>
      </c>
      <c r="C208" t="s">
        <v>14</v>
      </c>
      <c r="D208" t="s">
        <v>21</v>
      </c>
      <c r="E208" t="s">
        <v>26</v>
      </c>
      <c r="F208" t="s">
        <v>30</v>
      </c>
      <c r="G208">
        <v>9</v>
      </c>
      <c r="H208">
        <v>464</v>
      </c>
      <c r="I208">
        <v>0.3</v>
      </c>
      <c r="J208">
        <v>2923.2</v>
      </c>
      <c r="K208">
        <v>720.31420249303346</v>
      </c>
      <c r="L208" t="s">
        <v>32</v>
      </c>
      <c r="M208" t="s">
        <v>36</v>
      </c>
    </row>
    <row r="209" spans="1:13" x14ac:dyDescent="0.25">
      <c r="A209">
        <v>1161</v>
      </c>
      <c r="B209" s="2">
        <v>44663</v>
      </c>
      <c r="C209" t="s">
        <v>17</v>
      </c>
      <c r="D209" t="s">
        <v>21</v>
      </c>
      <c r="E209" t="s">
        <v>24</v>
      </c>
      <c r="F209" t="s">
        <v>28</v>
      </c>
      <c r="G209">
        <v>1</v>
      </c>
      <c r="H209">
        <v>218</v>
      </c>
      <c r="I209">
        <v>0.3</v>
      </c>
      <c r="J209">
        <v>152.6</v>
      </c>
      <c r="K209">
        <v>38.25084226870635</v>
      </c>
      <c r="L209" t="s">
        <v>32</v>
      </c>
      <c r="M209" t="s">
        <v>36</v>
      </c>
    </row>
    <row r="210" spans="1:13" x14ac:dyDescent="0.25">
      <c r="A210">
        <v>1727</v>
      </c>
      <c r="B210" s="2">
        <v>44726</v>
      </c>
      <c r="C210" t="s">
        <v>17</v>
      </c>
      <c r="D210" t="s">
        <v>23</v>
      </c>
      <c r="E210" t="s">
        <v>25</v>
      </c>
      <c r="F210" t="s">
        <v>29</v>
      </c>
      <c r="G210">
        <v>5</v>
      </c>
      <c r="H210">
        <v>482</v>
      </c>
      <c r="I210">
        <v>0.1</v>
      </c>
      <c r="J210">
        <v>2169</v>
      </c>
      <c r="K210">
        <v>574.86074871873109</v>
      </c>
      <c r="L210" t="s">
        <v>32</v>
      </c>
      <c r="M210" t="s">
        <v>36</v>
      </c>
    </row>
    <row r="211" spans="1:13" x14ac:dyDescent="0.25">
      <c r="A211">
        <v>1952</v>
      </c>
      <c r="B211" s="2">
        <v>44783</v>
      </c>
      <c r="C211" t="s">
        <v>18</v>
      </c>
      <c r="D211" t="s">
        <v>22</v>
      </c>
      <c r="E211" t="s">
        <v>26</v>
      </c>
      <c r="F211" t="s">
        <v>29</v>
      </c>
      <c r="G211">
        <v>8</v>
      </c>
      <c r="H211">
        <v>130</v>
      </c>
      <c r="I211">
        <v>0.2</v>
      </c>
      <c r="J211">
        <v>832</v>
      </c>
      <c r="K211">
        <v>152.47000438719709</v>
      </c>
      <c r="L211" t="s">
        <v>32</v>
      </c>
      <c r="M211" t="s">
        <v>35</v>
      </c>
    </row>
    <row r="212" spans="1:13" x14ac:dyDescent="0.25">
      <c r="A212">
        <v>1975</v>
      </c>
      <c r="B212" s="2">
        <v>44607</v>
      </c>
      <c r="C212" t="s">
        <v>17</v>
      </c>
      <c r="D212" t="s">
        <v>23</v>
      </c>
      <c r="E212" t="s">
        <v>26</v>
      </c>
      <c r="F212" t="s">
        <v>28</v>
      </c>
      <c r="G212">
        <v>5</v>
      </c>
      <c r="H212">
        <v>94</v>
      </c>
      <c r="I212">
        <v>0.2</v>
      </c>
      <c r="J212">
        <v>376</v>
      </c>
      <c r="K212">
        <v>27.541120143374421</v>
      </c>
      <c r="L212" t="s">
        <v>32</v>
      </c>
      <c r="M212" t="s">
        <v>35</v>
      </c>
    </row>
    <row r="213" spans="1:13" x14ac:dyDescent="0.25">
      <c r="A213">
        <v>1897</v>
      </c>
      <c r="B213" s="2">
        <v>44635</v>
      </c>
      <c r="C213" t="s">
        <v>13</v>
      </c>
      <c r="D213" t="s">
        <v>20</v>
      </c>
      <c r="E213" t="s">
        <v>26</v>
      </c>
      <c r="F213" t="s">
        <v>30</v>
      </c>
      <c r="G213">
        <v>5</v>
      </c>
      <c r="H213">
        <v>276</v>
      </c>
      <c r="I213">
        <v>0.3</v>
      </c>
      <c r="J213">
        <v>965.99999999999989</v>
      </c>
      <c r="K213">
        <v>225.96264208876431</v>
      </c>
      <c r="L213" t="s">
        <v>32</v>
      </c>
      <c r="M213" t="s">
        <v>34</v>
      </c>
    </row>
    <row r="214" spans="1:13" x14ac:dyDescent="0.25">
      <c r="A214">
        <v>1224</v>
      </c>
      <c r="B214" s="2">
        <v>44799</v>
      </c>
      <c r="C214" t="s">
        <v>19</v>
      </c>
      <c r="D214" t="s">
        <v>20</v>
      </c>
      <c r="E214" t="s">
        <v>25</v>
      </c>
      <c r="F214" t="s">
        <v>29</v>
      </c>
      <c r="G214">
        <v>5</v>
      </c>
      <c r="H214">
        <v>207</v>
      </c>
      <c r="I214">
        <v>0.1</v>
      </c>
      <c r="J214">
        <v>931.5</v>
      </c>
      <c r="K214">
        <v>189.86252758813009</v>
      </c>
      <c r="L214" t="s">
        <v>32</v>
      </c>
      <c r="M214" t="s">
        <v>34</v>
      </c>
    </row>
    <row r="215" spans="1:13" x14ac:dyDescent="0.25">
      <c r="A215">
        <v>1782</v>
      </c>
      <c r="B215" s="2">
        <v>44608</v>
      </c>
      <c r="C215" t="s">
        <v>17</v>
      </c>
      <c r="D215" t="s">
        <v>23</v>
      </c>
      <c r="E215" t="s">
        <v>25</v>
      </c>
      <c r="F215" t="s">
        <v>31</v>
      </c>
      <c r="G215">
        <v>4</v>
      </c>
      <c r="H215">
        <v>391</v>
      </c>
      <c r="J215">
        <v>1564</v>
      </c>
      <c r="K215">
        <v>308.18708637682067</v>
      </c>
      <c r="L215" t="s">
        <v>32</v>
      </c>
      <c r="M215" t="s">
        <v>34</v>
      </c>
    </row>
    <row r="216" spans="1:13" x14ac:dyDescent="0.25">
      <c r="A216">
        <v>1475</v>
      </c>
      <c r="B216" s="2">
        <v>44605</v>
      </c>
      <c r="C216" t="s">
        <v>15</v>
      </c>
      <c r="D216" t="s">
        <v>21</v>
      </c>
      <c r="E216" t="s">
        <v>24</v>
      </c>
      <c r="F216" t="s">
        <v>28</v>
      </c>
      <c r="G216">
        <v>1</v>
      </c>
      <c r="H216">
        <v>304</v>
      </c>
      <c r="I216">
        <v>0.3</v>
      </c>
      <c r="J216">
        <v>212.8</v>
      </c>
      <c r="K216">
        <v>29.552228155480211</v>
      </c>
      <c r="L216" t="s">
        <v>32</v>
      </c>
      <c r="M216" t="s">
        <v>35</v>
      </c>
    </row>
    <row r="217" spans="1:13" x14ac:dyDescent="0.25">
      <c r="A217">
        <v>1875</v>
      </c>
      <c r="B217" s="2">
        <v>44614</v>
      </c>
      <c r="C217" t="s">
        <v>18</v>
      </c>
      <c r="D217" t="s">
        <v>22</v>
      </c>
      <c r="E217" t="s">
        <v>25</v>
      </c>
      <c r="F217" t="s">
        <v>30</v>
      </c>
      <c r="G217">
        <v>7</v>
      </c>
      <c r="H217">
        <v>41</v>
      </c>
      <c r="I217">
        <v>0.2</v>
      </c>
      <c r="J217">
        <v>229.6</v>
      </c>
      <c r="K217">
        <v>43.661889419488219</v>
      </c>
      <c r="L217" t="s">
        <v>32</v>
      </c>
      <c r="M217" t="s">
        <v>34</v>
      </c>
    </row>
    <row r="218" spans="1:13" x14ac:dyDescent="0.25">
      <c r="A218">
        <v>1128</v>
      </c>
      <c r="B218" s="2">
        <v>44699</v>
      </c>
      <c r="C218" t="s">
        <v>14</v>
      </c>
      <c r="D218" t="s">
        <v>23</v>
      </c>
      <c r="E218" t="s">
        <v>24</v>
      </c>
      <c r="F218" t="s">
        <v>30</v>
      </c>
      <c r="G218">
        <v>7</v>
      </c>
      <c r="H218">
        <v>91</v>
      </c>
      <c r="I218">
        <v>0</v>
      </c>
      <c r="J218">
        <v>637</v>
      </c>
      <c r="K218">
        <v>175.1484603006981</v>
      </c>
      <c r="L218" t="s">
        <v>32</v>
      </c>
      <c r="M218" t="s">
        <v>34</v>
      </c>
    </row>
    <row r="219" spans="1:13" x14ac:dyDescent="0.25">
      <c r="A219">
        <v>1373</v>
      </c>
      <c r="B219" s="2">
        <v>44823</v>
      </c>
      <c r="C219" t="s">
        <v>19</v>
      </c>
      <c r="D219" t="s">
        <v>22</v>
      </c>
      <c r="E219" t="s">
        <v>25</v>
      </c>
      <c r="F219" t="s">
        <v>31</v>
      </c>
      <c r="G219">
        <v>1</v>
      </c>
      <c r="H219">
        <v>326</v>
      </c>
      <c r="J219">
        <v>326</v>
      </c>
      <c r="K219">
        <v>60.374691031321873</v>
      </c>
      <c r="L219" t="s">
        <v>32</v>
      </c>
      <c r="M219" t="s">
        <v>36</v>
      </c>
    </row>
    <row r="220" spans="1:13" x14ac:dyDescent="0.25">
      <c r="A220">
        <v>1748</v>
      </c>
      <c r="B220" s="2">
        <v>44679</v>
      </c>
      <c r="C220" t="s">
        <v>14</v>
      </c>
      <c r="D220" t="s">
        <v>22</v>
      </c>
      <c r="E220" t="s">
        <v>24</v>
      </c>
      <c r="F220" t="s">
        <v>27</v>
      </c>
      <c r="G220">
        <v>5</v>
      </c>
      <c r="H220">
        <v>474</v>
      </c>
      <c r="I220">
        <v>0.1</v>
      </c>
      <c r="J220">
        <v>2133</v>
      </c>
      <c r="K220">
        <v>143.42186222206161</v>
      </c>
      <c r="L220" t="s">
        <v>32</v>
      </c>
      <c r="M220" t="s">
        <v>34</v>
      </c>
    </row>
    <row r="221" spans="1:13" x14ac:dyDescent="0.25">
      <c r="A221">
        <v>1064</v>
      </c>
      <c r="B221" s="2">
        <v>44694</v>
      </c>
      <c r="C221" t="s">
        <v>16</v>
      </c>
      <c r="D221" t="s">
        <v>20</v>
      </c>
      <c r="E221" t="s">
        <v>24</v>
      </c>
      <c r="F221" t="s">
        <v>31</v>
      </c>
      <c r="G221">
        <v>3</v>
      </c>
      <c r="H221">
        <v>91</v>
      </c>
      <c r="I221">
        <v>0</v>
      </c>
      <c r="J221">
        <v>273</v>
      </c>
      <c r="K221">
        <v>75.514356190756047</v>
      </c>
      <c r="L221" t="s">
        <v>32</v>
      </c>
      <c r="M221" t="s">
        <v>34</v>
      </c>
    </row>
    <row r="222" spans="1:13" x14ac:dyDescent="0.25">
      <c r="A222">
        <v>1504</v>
      </c>
      <c r="B222" s="2">
        <v>44618</v>
      </c>
      <c r="C222" t="s">
        <v>15</v>
      </c>
      <c r="D222" t="s">
        <v>21</v>
      </c>
      <c r="E222" t="s">
        <v>26</v>
      </c>
      <c r="F222" t="s">
        <v>30</v>
      </c>
      <c r="G222">
        <v>2</v>
      </c>
      <c r="H222">
        <v>356</v>
      </c>
      <c r="J222">
        <v>712</v>
      </c>
      <c r="K222">
        <v>83.628088182822154</v>
      </c>
      <c r="L222" t="s">
        <v>32</v>
      </c>
      <c r="M222" t="s">
        <v>34</v>
      </c>
    </row>
    <row r="223" spans="1:13" x14ac:dyDescent="0.25">
      <c r="A223">
        <v>1974</v>
      </c>
      <c r="B223" s="2">
        <v>44821</v>
      </c>
      <c r="C223" t="s">
        <v>17</v>
      </c>
      <c r="D223" t="s">
        <v>20</v>
      </c>
      <c r="E223" t="s">
        <v>24</v>
      </c>
      <c r="F223" t="s">
        <v>30</v>
      </c>
      <c r="G223">
        <v>3</v>
      </c>
      <c r="H223">
        <v>202</v>
      </c>
      <c r="I223">
        <v>0.2</v>
      </c>
      <c r="J223">
        <v>484.8</v>
      </c>
      <c r="K223">
        <v>128.25105884264829</v>
      </c>
      <c r="L223" t="s">
        <v>32</v>
      </c>
      <c r="M223" t="s">
        <v>35</v>
      </c>
    </row>
    <row r="224" spans="1:13" x14ac:dyDescent="0.25">
      <c r="A224">
        <v>1496</v>
      </c>
      <c r="B224" s="2">
        <v>44831</v>
      </c>
      <c r="C224" t="s">
        <v>19</v>
      </c>
      <c r="D224" t="s">
        <v>20</v>
      </c>
      <c r="E224" t="s">
        <v>26</v>
      </c>
      <c r="F224" t="s">
        <v>29</v>
      </c>
      <c r="G224">
        <v>9</v>
      </c>
      <c r="H224">
        <v>371</v>
      </c>
      <c r="J224">
        <v>3339</v>
      </c>
      <c r="K224">
        <v>858.33106347196804</v>
      </c>
      <c r="L224" t="s">
        <v>32</v>
      </c>
      <c r="M224" t="s">
        <v>36</v>
      </c>
    </row>
    <row r="225" spans="1:13" x14ac:dyDescent="0.25">
      <c r="A225">
        <v>1972</v>
      </c>
      <c r="B225" s="2">
        <v>44806</v>
      </c>
      <c r="C225" t="s">
        <v>17</v>
      </c>
      <c r="D225" t="s">
        <v>20</v>
      </c>
      <c r="E225" t="s">
        <v>25</v>
      </c>
      <c r="F225" t="s">
        <v>28</v>
      </c>
      <c r="G225">
        <v>6</v>
      </c>
      <c r="H225">
        <v>31</v>
      </c>
      <c r="I225">
        <v>0.2</v>
      </c>
      <c r="J225">
        <v>148.80000000000001</v>
      </c>
      <c r="K225">
        <v>44.048903868157723</v>
      </c>
      <c r="L225" t="s">
        <v>32</v>
      </c>
      <c r="M225" t="s">
        <v>34</v>
      </c>
    </row>
    <row r="226" spans="1:13" x14ac:dyDescent="0.25">
      <c r="A226">
        <v>1052</v>
      </c>
      <c r="B226" s="2">
        <v>44858</v>
      </c>
      <c r="C226" t="s">
        <v>19</v>
      </c>
      <c r="D226" t="s">
        <v>21</v>
      </c>
      <c r="E226" t="s">
        <v>25</v>
      </c>
      <c r="F226" t="s">
        <v>27</v>
      </c>
      <c r="G226">
        <v>2</v>
      </c>
      <c r="H226">
        <v>239</v>
      </c>
      <c r="J226">
        <v>478</v>
      </c>
      <c r="K226">
        <v>57.273492570302047</v>
      </c>
      <c r="L226" t="s">
        <v>32</v>
      </c>
      <c r="M226" t="s">
        <v>34</v>
      </c>
    </row>
    <row r="227" spans="1:13" x14ac:dyDescent="0.25">
      <c r="A227">
        <v>1502</v>
      </c>
      <c r="B227" s="2">
        <v>44743</v>
      </c>
      <c r="C227" t="s">
        <v>15</v>
      </c>
      <c r="D227" t="s">
        <v>22</v>
      </c>
      <c r="E227" t="s">
        <v>24</v>
      </c>
      <c r="F227" t="s">
        <v>27</v>
      </c>
      <c r="G227">
        <v>5</v>
      </c>
      <c r="H227">
        <v>433</v>
      </c>
      <c r="I227">
        <v>0</v>
      </c>
      <c r="J227">
        <v>2165</v>
      </c>
      <c r="K227">
        <v>385.64205864694202</v>
      </c>
      <c r="L227" t="s">
        <v>32</v>
      </c>
      <c r="M227" t="s">
        <v>36</v>
      </c>
    </row>
    <row r="228" spans="1:13" x14ac:dyDescent="0.25">
      <c r="A228">
        <v>1709</v>
      </c>
      <c r="B228" s="2">
        <v>44810</v>
      </c>
      <c r="C228" t="s">
        <v>19</v>
      </c>
      <c r="D228" t="s">
        <v>23</v>
      </c>
      <c r="E228" t="s">
        <v>24</v>
      </c>
      <c r="F228" t="s">
        <v>28</v>
      </c>
      <c r="G228">
        <v>2</v>
      </c>
      <c r="H228">
        <v>262</v>
      </c>
      <c r="I228">
        <v>0</v>
      </c>
      <c r="J228">
        <v>524</v>
      </c>
      <c r="K228">
        <v>141.73253633790841</v>
      </c>
      <c r="L228" t="s">
        <v>32</v>
      </c>
      <c r="M228" t="s">
        <v>36</v>
      </c>
    </row>
    <row r="229" spans="1:13" x14ac:dyDescent="0.25">
      <c r="A229">
        <v>1639</v>
      </c>
      <c r="B229" s="2">
        <v>44793</v>
      </c>
      <c r="C229" t="s">
        <v>19</v>
      </c>
      <c r="D229" t="s">
        <v>21</v>
      </c>
      <c r="E229" t="s">
        <v>25</v>
      </c>
      <c r="F229" t="s">
        <v>27</v>
      </c>
      <c r="G229">
        <v>3</v>
      </c>
      <c r="H229">
        <v>41</v>
      </c>
      <c r="I229">
        <v>0.2</v>
      </c>
      <c r="J229">
        <v>98.4</v>
      </c>
      <c r="K229">
        <v>9.8895854427012537</v>
      </c>
      <c r="L229" t="s">
        <v>32</v>
      </c>
      <c r="M229" t="s">
        <v>35</v>
      </c>
    </row>
    <row r="230" spans="1:13" x14ac:dyDescent="0.25">
      <c r="A230">
        <v>1378</v>
      </c>
      <c r="B230" s="2">
        <v>44710</v>
      </c>
      <c r="C230" t="s">
        <v>14</v>
      </c>
      <c r="D230" t="s">
        <v>22</v>
      </c>
      <c r="E230" t="s">
        <v>26</v>
      </c>
      <c r="F230" t="s">
        <v>27</v>
      </c>
      <c r="G230">
        <v>7</v>
      </c>
      <c r="H230">
        <v>320</v>
      </c>
      <c r="I230">
        <v>0.1</v>
      </c>
      <c r="J230">
        <v>2016</v>
      </c>
      <c r="K230">
        <v>230.0911514719009</v>
      </c>
      <c r="L230" t="s">
        <v>32</v>
      </c>
      <c r="M230" t="s">
        <v>35</v>
      </c>
    </row>
    <row r="231" spans="1:13" x14ac:dyDescent="0.25">
      <c r="A231">
        <v>1546</v>
      </c>
      <c r="B231" s="2">
        <v>44733</v>
      </c>
      <c r="C231" t="s">
        <v>14</v>
      </c>
      <c r="D231" t="s">
        <v>22</v>
      </c>
      <c r="E231" t="s">
        <v>24</v>
      </c>
      <c r="F231" t="s">
        <v>28</v>
      </c>
      <c r="G231">
        <v>2</v>
      </c>
      <c r="H231">
        <v>221</v>
      </c>
      <c r="I231">
        <v>0</v>
      </c>
      <c r="J231">
        <v>442</v>
      </c>
      <c r="K231">
        <v>75.658939727870205</v>
      </c>
      <c r="L231" t="s">
        <v>32</v>
      </c>
      <c r="M231" t="s">
        <v>35</v>
      </c>
    </row>
    <row r="232" spans="1:13" x14ac:dyDescent="0.25">
      <c r="A232">
        <v>1241</v>
      </c>
      <c r="B232" s="2">
        <v>44631</v>
      </c>
      <c r="C232" t="s">
        <v>16</v>
      </c>
      <c r="D232" t="s">
        <v>21</v>
      </c>
      <c r="E232" t="s">
        <v>24</v>
      </c>
      <c r="F232" t="s">
        <v>29</v>
      </c>
      <c r="G232">
        <v>1</v>
      </c>
      <c r="H232">
        <v>166</v>
      </c>
      <c r="I232">
        <v>0</v>
      </c>
      <c r="J232">
        <v>166</v>
      </c>
      <c r="K232">
        <v>26.311803696215829</v>
      </c>
      <c r="L232" t="s">
        <v>32</v>
      </c>
      <c r="M232" t="s">
        <v>35</v>
      </c>
    </row>
    <row r="233" spans="1:13" x14ac:dyDescent="0.25">
      <c r="A233">
        <v>1232</v>
      </c>
      <c r="B233" s="2">
        <v>44827</v>
      </c>
      <c r="C233" t="s">
        <v>17</v>
      </c>
      <c r="D233" t="s">
        <v>23</v>
      </c>
      <c r="E233" t="s">
        <v>26</v>
      </c>
      <c r="F233" t="s">
        <v>29</v>
      </c>
      <c r="G233">
        <v>4</v>
      </c>
      <c r="H233">
        <v>421</v>
      </c>
      <c r="I233">
        <v>0</v>
      </c>
      <c r="J233">
        <v>1684</v>
      </c>
      <c r="K233">
        <v>430.10913393610861</v>
      </c>
      <c r="L233" t="s">
        <v>32</v>
      </c>
      <c r="M233" t="s">
        <v>36</v>
      </c>
    </row>
    <row r="234" spans="1:13" x14ac:dyDescent="0.25">
      <c r="A234">
        <v>1860</v>
      </c>
      <c r="B234" s="2">
        <v>44564</v>
      </c>
      <c r="C234" t="s">
        <v>13</v>
      </c>
      <c r="D234" t="s">
        <v>20</v>
      </c>
      <c r="E234" t="s">
        <v>26</v>
      </c>
      <c r="F234" t="s">
        <v>27</v>
      </c>
      <c r="G234">
        <v>2</v>
      </c>
      <c r="H234">
        <v>393</v>
      </c>
      <c r="I234">
        <v>0</v>
      </c>
      <c r="J234">
        <v>786</v>
      </c>
      <c r="K234">
        <v>164.33125105692221</v>
      </c>
      <c r="L234" t="s">
        <v>32</v>
      </c>
      <c r="M234" t="s">
        <v>35</v>
      </c>
    </row>
    <row r="235" spans="1:13" x14ac:dyDescent="0.25">
      <c r="A235">
        <v>1871</v>
      </c>
      <c r="B235" s="2">
        <v>44579</v>
      </c>
      <c r="C235" t="s">
        <v>15</v>
      </c>
      <c r="D235" t="s">
        <v>20</v>
      </c>
      <c r="E235" t="s">
        <v>26</v>
      </c>
      <c r="F235" t="s">
        <v>31</v>
      </c>
      <c r="G235">
        <v>6</v>
      </c>
      <c r="H235">
        <v>455</v>
      </c>
      <c r="J235">
        <v>2730</v>
      </c>
      <c r="K235">
        <v>264.82688137502151</v>
      </c>
      <c r="L235" t="s">
        <v>33</v>
      </c>
      <c r="M235" t="s">
        <v>34</v>
      </c>
    </row>
    <row r="236" spans="1:13" x14ac:dyDescent="0.25">
      <c r="A236">
        <v>1252</v>
      </c>
      <c r="B236" s="2">
        <v>44597</v>
      </c>
      <c r="C236" t="s">
        <v>15</v>
      </c>
      <c r="D236" t="s">
        <v>21</v>
      </c>
      <c r="E236" t="s">
        <v>24</v>
      </c>
      <c r="F236" t="s">
        <v>30</v>
      </c>
      <c r="G236">
        <v>2</v>
      </c>
      <c r="H236">
        <v>304</v>
      </c>
      <c r="J236">
        <v>608</v>
      </c>
      <c r="K236">
        <v>140.15478260681601</v>
      </c>
      <c r="L236" t="s">
        <v>32</v>
      </c>
      <c r="M236" t="s">
        <v>34</v>
      </c>
    </row>
    <row r="237" spans="1:13" x14ac:dyDescent="0.25">
      <c r="A237">
        <v>1700</v>
      </c>
      <c r="B237" s="2">
        <v>44568</v>
      </c>
      <c r="C237" t="s">
        <v>15</v>
      </c>
      <c r="D237" t="s">
        <v>21</v>
      </c>
      <c r="E237" t="s">
        <v>26</v>
      </c>
      <c r="F237" t="s">
        <v>31</v>
      </c>
      <c r="G237">
        <v>8</v>
      </c>
      <c r="H237">
        <v>139</v>
      </c>
      <c r="I237">
        <v>0.1</v>
      </c>
      <c r="J237">
        <v>1000.8</v>
      </c>
      <c r="K237">
        <v>52.374771280738749</v>
      </c>
      <c r="L237" t="s">
        <v>32</v>
      </c>
      <c r="M237" t="s">
        <v>34</v>
      </c>
    </row>
    <row r="238" spans="1:13" x14ac:dyDescent="0.25">
      <c r="A238">
        <v>1020</v>
      </c>
      <c r="B238" s="2">
        <v>44569</v>
      </c>
      <c r="C238" t="s">
        <v>17</v>
      </c>
      <c r="D238" t="s">
        <v>23</v>
      </c>
      <c r="E238" t="s">
        <v>24</v>
      </c>
      <c r="F238" t="s">
        <v>28</v>
      </c>
      <c r="G238">
        <v>2</v>
      </c>
      <c r="H238">
        <v>229</v>
      </c>
      <c r="J238">
        <v>458</v>
      </c>
      <c r="K238">
        <v>51.144729987725839</v>
      </c>
      <c r="L238" t="s">
        <v>32</v>
      </c>
      <c r="M238" t="s">
        <v>34</v>
      </c>
    </row>
    <row r="239" spans="1:13" x14ac:dyDescent="0.25">
      <c r="A239">
        <v>1085</v>
      </c>
      <c r="B239" s="2">
        <v>44777</v>
      </c>
      <c r="C239" t="s">
        <v>18</v>
      </c>
      <c r="D239" t="s">
        <v>23</v>
      </c>
      <c r="E239" t="s">
        <v>24</v>
      </c>
      <c r="F239" t="s">
        <v>28</v>
      </c>
      <c r="G239">
        <v>2</v>
      </c>
      <c r="H239">
        <v>347</v>
      </c>
      <c r="I239">
        <v>0.2</v>
      </c>
      <c r="J239">
        <v>555.20000000000005</v>
      </c>
      <c r="K239">
        <v>137.80819336189691</v>
      </c>
      <c r="L239" t="s">
        <v>33</v>
      </c>
      <c r="M239" t="s">
        <v>36</v>
      </c>
    </row>
    <row r="240" spans="1:13" x14ac:dyDescent="0.25">
      <c r="A240">
        <v>1317</v>
      </c>
      <c r="B240" s="2">
        <v>44814</v>
      </c>
      <c r="C240" t="s">
        <v>14</v>
      </c>
      <c r="D240" t="s">
        <v>22</v>
      </c>
      <c r="E240" t="s">
        <v>26</v>
      </c>
      <c r="F240" t="s">
        <v>29</v>
      </c>
      <c r="G240">
        <v>8</v>
      </c>
      <c r="H240">
        <v>257</v>
      </c>
      <c r="I240">
        <v>0.3</v>
      </c>
      <c r="J240">
        <v>1439.2</v>
      </c>
      <c r="K240">
        <v>273.36009497308999</v>
      </c>
      <c r="L240" t="s">
        <v>32</v>
      </c>
      <c r="M240" t="s">
        <v>36</v>
      </c>
    </row>
    <row r="241" spans="1:13" x14ac:dyDescent="0.25">
      <c r="A241">
        <v>1384</v>
      </c>
      <c r="B241" s="2">
        <v>44854</v>
      </c>
      <c r="C241" t="s">
        <v>16</v>
      </c>
      <c r="D241" t="s">
        <v>21</v>
      </c>
      <c r="E241" t="s">
        <v>25</v>
      </c>
      <c r="F241" t="s">
        <v>27</v>
      </c>
      <c r="G241">
        <v>6</v>
      </c>
      <c r="H241">
        <v>43</v>
      </c>
      <c r="I241">
        <v>0.1</v>
      </c>
      <c r="J241">
        <v>232.2</v>
      </c>
      <c r="K241">
        <v>21.761867428064441</v>
      </c>
      <c r="L241" t="s">
        <v>32</v>
      </c>
      <c r="M241" t="s">
        <v>34</v>
      </c>
    </row>
    <row r="242" spans="1:13" x14ac:dyDescent="0.25">
      <c r="A242">
        <v>1189</v>
      </c>
      <c r="B242" s="2">
        <v>44798</v>
      </c>
      <c r="C242" t="s">
        <v>13</v>
      </c>
      <c r="D242" t="s">
        <v>20</v>
      </c>
      <c r="E242" t="s">
        <v>24</v>
      </c>
      <c r="F242" t="s">
        <v>28</v>
      </c>
      <c r="G242">
        <v>9</v>
      </c>
      <c r="H242">
        <v>316</v>
      </c>
      <c r="I242">
        <v>0.3</v>
      </c>
      <c r="J242">
        <v>1990.8</v>
      </c>
      <c r="K242">
        <v>318.6889653219273</v>
      </c>
      <c r="L242" t="s">
        <v>32</v>
      </c>
      <c r="M242" t="s">
        <v>36</v>
      </c>
    </row>
    <row r="243" spans="1:13" x14ac:dyDescent="0.25">
      <c r="A243">
        <v>1960</v>
      </c>
      <c r="B243" s="2">
        <v>44734</v>
      </c>
      <c r="C243" t="s">
        <v>17</v>
      </c>
      <c r="D243" t="s">
        <v>23</v>
      </c>
      <c r="E243" t="s">
        <v>26</v>
      </c>
      <c r="F243" t="s">
        <v>29</v>
      </c>
      <c r="G243">
        <v>5</v>
      </c>
      <c r="H243">
        <v>443</v>
      </c>
      <c r="I243">
        <v>0</v>
      </c>
      <c r="J243">
        <v>2215</v>
      </c>
      <c r="K243">
        <v>202.54765161541391</v>
      </c>
      <c r="L243" t="s">
        <v>33</v>
      </c>
      <c r="M243" t="s">
        <v>35</v>
      </c>
    </row>
    <row r="244" spans="1:13" x14ac:dyDescent="0.25">
      <c r="A244">
        <v>1931</v>
      </c>
      <c r="B244" s="2">
        <v>44648</v>
      </c>
      <c r="C244" t="s">
        <v>18</v>
      </c>
      <c r="D244" t="s">
        <v>20</v>
      </c>
      <c r="E244" t="s">
        <v>26</v>
      </c>
      <c r="F244" t="s">
        <v>28</v>
      </c>
      <c r="G244">
        <v>5</v>
      </c>
      <c r="H244">
        <v>290</v>
      </c>
      <c r="J244">
        <v>1450</v>
      </c>
      <c r="K244">
        <v>139.3726417609443</v>
      </c>
      <c r="L244" t="s">
        <v>32</v>
      </c>
      <c r="M244" t="s">
        <v>35</v>
      </c>
    </row>
    <row r="245" spans="1:13" x14ac:dyDescent="0.25">
      <c r="A245">
        <v>1270</v>
      </c>
      <c r="B245" s="2">
        <v>44670</v>
      </c>
      <c r="C245" t="s">
        <v>14</v>
      </c>
      <c r="D245" t="s">
        <v>23</v>
      </c>
      <c r="E245" t="s">
        <v>26</v>
      </c>
      <c r="F245" t="s">
        <v>30</v>
      </c>
      <c r="G245">
        <v>2</v>
      </c>
      <c r="H245">
        <v>335</v>
      </c>
      <c r="I245">
        <v>0.1</v>
      </c>
      <c r="J245">
        <v>603</v>
      </c>
      <c r="K245">
        <v>96.005243419238312</v>
      </c>
      <c r="L245" t="s">
        <v>32</v>
      </c>
      <c r="M245" t="s">
        <v>35</v>
      </c>
    </row>
    <row r="246" spans="1:13" x14ac:dyDescent="0.25">
      <c r="A246">
        <v>1233</v>
      </c>
      <c r="B246" s="2">
        <v>44818</v>
      </c>
      <c r="C246" t="s">
        <v>16</v>
      </c>
      <c r="D246" t="s">
        <v>22</v>
      </c>
      <c r="E246" t="s">
        <v>25</v>
      </c>
      <c r="F246" t="s">
        <v>31</v>
      </c>
      <c r="G246">
        <v>1</v>
      </c>
      <c r="H246">
        <v>240</v>
      </c>
      <c r="I246">
        <v>0.3</v>
      </c>
      <c r="J246">
        <v>168</v>
      </c>
      <c r="K246">
        <v>11.73507655500724</v>
      </c>
      <c r="L246" t="s">
        <v>32</v>
      </c>
      <c r="M246" t="s">
        <v>34</v>
      </c>
    </row>
    <row r="247" spans="1:13" x14ac:dyDescent="0.25">
      <c r="A247">
        <v>1027</v>
      </c>
      <c r="B247" s="2">
        <v>44786</v>
      </c>
      <c r="C247" t="s">
        <v>13</v>
      </c>
      <c r="D247" t="s">
        <v>21</v>
      </c>
      <c r="E247" t="s">
        <v>25</v>
      </c>
      <c r="F247" t="s">
        <v>29</v>
      </c>
      <c r="G247">
        <v>4</v>
      </c>
      <c r="H247">
        <v>26</v>
      </c>
      <c r="J247">
        <v>104</v>
      </c>
      <c r="K247">
        <v>25.824795111394611</v>
      </c>
      <c r="L247" t="s">
        <v>32</v>
      </c>
      <c r="M247" t="s">
        <v>35</v>
      </c>
    </row>
    <row r="248" spans="1:13" x14ac:dyDescent="0.25">
      <c r="A248">
        <v>1510</v>
      </c>
      <c r="B248" s="2">
        <v>44603</v>
      </c>
      <c r="C248" t="s">
        <v>13</v>
      </c>
      <c r="D248" t="s">
        <v>22</v>
      </c>
      <c r="E248" t="s">
        <v>24</v>
      </c>
      <c r="F248" t="s">
        <v>28</v>
      </c>
      <c r="G248">
        <v>2</v>
      </c>
      <c r="H248">
        <v>290</v>
      </c>
      <c r="I248">
        <v>0</v>
      </c>
      <c r="J248">
        <v>580</v>
      </c>
      <c r="K248">
        <v>29.46664822262041</v>
      </c>
      <c r="L248" t="s">
        <v>33</v>
      </c>
      <c r="M248" t="s">
        <v>35</v>
      </c>
    </row>
    <row r="249" spans="1:13" x14ac:dyDescent="0.25">
      <c r="A249">
        <v>1397</v>
      </c>
      <c r="B249" s="2">
        <v>44745</v>
      </c>
      <c r="C249" t="s">
        <v>14</v>
      </c>
      <c r="D249" t="s">
        <v>21</v>
      </c>
      <c r="E249" t="s">
        <v>24</v>
      </c>
      <c r="F249" t="s">
        <v>30</v>
      </c>
      <c r="G249">
        <v>6</v>
      </c>
      <c r="H249">
        <v>96</v>
      </c>
      <c r="I249">
        <v>0</v>
      </c>
      <c r="J249">
        <v>576</v>
      </c>
      <c r="K249">
        <v>94.93054237396197</v>
      </c>
      <c r="L249" t="s">
        <v>32</v>
      </c>
      <c r="M249" t="s">
        <v>35</v>
      </c>
    </row>
    <row r="250" spans="1:13" x14ac:dyDescent="0.25">
      <c r="A250">
        <v>1566</v>
      </c>
      <c r="B250" s="2">
        <v>44615</v>
      </c>
      <c r="C250" t="s">
        <v>15</v>
      </c>
      <c r="D250" t="s">
        <v>23</v>
      </c>
      <c r="E250" t="s">
        <v>25</v>
      </c>
      <c r="F250" t="s">
        <v>29</v>
      </c>
      <c r="G250">
        <v>8</v>
      </c>
      <c r="H250">
        <v>478</v>
      </c>
      <c r="I250">
        <v>0.1</v>
      </c>
      <c r="J250">
        <v>3441.6</v>
      </c>
      <c r="K250">
        <v>691.32078833958963</v>
      </c>
      <c r="L250" t="s">
        <v>32</v>
      </c>
      <c r="M250" t="s">
        <v>35</v>
      </c>
    </row>
    <row r="251" spans="1:13" x14ac:dyDescent="0.25">
      <c r="A251">
        <v>1484</v>
      </c>
      <c r="B251" s="2">
        <v>44764</v>
      </c>
      <c r="C251" t="s">
        <v>14</v>
      </c>
      <c r="D251" t="s">
        <v>23</v>
      </c>
      <c r="E251" t="s">
        <v>24</v>
      </c>
      <c r="F251" t="s">
        <v>31</v>
      </c>
      <c r="G251">
        <v>8</v>
      </c>
      <c r="H251">
        <v>470</v>
      </c>
      <c r="I251">
        <v>0.3</v>
      </c>
      <c r="J251">
        <v>2632</v>
      </c>
      <c r="K251">
        <v>436.86684594251489</v>
      </c>
      <c r="L251" t="s">
        <v>32</v>
      </c>
      <c r="M251" t="s">
        <v>36</v>
      </c>
    </row>
    <row r="252" spans="1:13" x14ac:dyDescent="0.25">
      <c r="A252">
        <v>1804</v>
      </c>
      <c r="B252" s="2">
        <v>44727</v>
      </c>
      <c r="C252" t="s">
        <v>14</v>
      </c>
      <c r="D252" t="s">
        <v>21</v>
      </c>
      <c r="E252" t="s">
        <v>24</v>
      </c>
      <c r="F252" t="s">
        <v>30</v>
      </c>
      <c r="G252">
        <v>1</v>
      </c>
      <c r="H252">
        <v>99</v>
      </c>
      <c r="I252">
        <v>0.1</v>
      </c>
      <c r="J252">
        <v>89.100000000000009</v>
      </c>
      <c r="K252">
        <v>20.555688603968971</v>
      </c>
      <c r="L252" t="s">
        <v>32</v>
      </c>
      <c r="M252" t="s">
        <v>36</v>
      </c>
    </row>
    <row r="253" spans="1:13" x14ac:dyDescent="0.25">
      <c r="A253">
        <v>1564</v>
      </c>
      <c r="B253" s="2">
        <v>44634</v>
      </c>
      <c r="C253" t="s">
        <v>15</v>
      </c>
      <c r="D253" t="s">
        <v>20</v>
      </c>
      <c r="E253" t="s">
        <v>25</v>
      </c>
      <c r="F253" t="s">
        <v>31</v>
      </c>
      <c r="G253">
        <v>2</v>
      </c>
      <c r="H253">
        <v>406</v>
      </c>
      <c r="J253">
        <v>812</v>
      </c>
      <c r="K253">
        <v>162.039734694939</v>
      </c>
      <c r="L253" t="s">
        <v>32</v>
      </c>
      <c r="M253" t="s">
        <v>35</v>
      </c>
    </row>
    <row r="254" spans="1:13" x14ac:dyDescent="0.25">
      <c r="A254">
        <v>1130</v>
      </c>
      <c r="B254" s="2">
        <v>44619</v>
      </c>
      <c r="C254" t="s">
        <v>18</v>
      </c>
      <c r="D254" t="s">
        <v>22</v>
      </c>
      <c r="E254" t="s">
        <v>24</v>
      </c>
      <c r="F254" t="s">
        <v>27</v>
      </c>
      <c r="G254">
        <v>7</v>
      </c>
      <c r="H254">
        <v>401</v>
      </c>
      <c r="I254">
        <v>0.1</v>
      </c>
      <c r="J254">
        <v>2526.3000000000002</v>
      </c>
      <c r="K254">
        <v>647.39558123447273</v>
      </c>
      <c r="L254" t="s">
        <v>32</v>
      </c>
      <c r="M254" t="s">
        <v>36</v>
      </c>
    </row>
    <row r="255" spans="1:13" x14ac:dyDescent="0.25">
      <c r="A255">
        <v>1372</v>
      </c>
      <c r="B255" s="2">
        <v>44577</v>
      </c>
      <c r="C255" t="s">
        <v>17</v>
      </c>
      <c r="D255" t="s">
        <v>21</v>
      </c>
      <c r="E255" t="s">
        <v>25</v>
      </c>
      <c r="F255" t="s">
        <v>30</v>
      </c>
      <c r="G255">
        <v>7</v>
      </c>
      <c r="H255">
        <v>270</v>
      </c>
      <c r="I255">
        <v>0.2</v>
      </c>
      <c r="J255">
        <v>1512</v>
      </c>
      <c r="K255">
        <v>352.70094989921711</v>
      </c>
      <c r="L255" t="s">
        <v>32</v>
      </c>
      <c r="M255" t="s">
        <v>35</v>
      </c>
    </row>
    <row r="256" spans="1:13" x14ac:dyDescent="0.25">
      <c r="A256">
        <v>1156</v>
      </c>
      <c r="B256" s="2">
        <v>44691</v>
      </c>
      <c r="C256" t="s">
        <v>19</v>
      </c>
      <c r="D256" t="s">
        <v>21</v>
      </c>
      <c r="E256" t="s">
        <v>25</v>
      </c>
      <c r="F256" t="s">
        <v>27</v>
      </c>
      <c r="G256">
        <v>7</v>
      </c>
      <c r="H256">
        <v>136</v>
      </c>
      <c r="I256">
        <v>0.1</v>
      </c>
      <c r="J256">
        <v>856.80000000000007</v>
      </c>
      <c r="K256">
        <v>147.27774968483891</v>
      </c>
      <c r="L256" t="s">
        <v>32</v>
      </c>
      <c r="M256" t="s">
        <v>34</v>
      </c>
    </row>
    <row r="257" spans="1:13" x14ac:dyDescent="0.25">
      <c r="A257">
        <v>1276</v>
      </c>
      <c r="B257" s="2">
        <v>44592</v>
      </c>
      <c r="C257" t="s">
        <v>17</v>
      </c>
      <c r="D257" t="s">
        <v>22</v>
      </c>
      <c r="E257" t="s">
        <v>25</v>
      </c>
      <c r="F257" t="s">
        <v>31</v>
      </c>
      <c r="G257">
        <v>6</v>
      </c>
      <c r="H257">
        <v>77</v>
      </c>
      <c r="J257">
        <v>462</v>
      </c>
      <c r="K257">
        <v>58.397286889119833</v>
      </c>
      <c r="L257" t="s">
        <v>32</v>
      </c>
      <c r="M257" t="s">
        <v>36</v>
      </c>
    </row>
    <row r="258" spans="1:13" x14ac:dyDescent="0.25">
      <c r="A258">
        <v>1224</v>
      </c>
      <c r="B258" s="2">
        <v>44853</v>
      </c>
      <c r="C258" t="s">
        <v>18</v>
      </c>
      <c r="D258" t="s">
        <v>21</v>
      </c>
      <c r="E258" t="s">
        <v>25</v>
      </c>
      <c r="F258" t="s">
        <v>29</v>
      </c>
      <c r="G258">
        <v>5</v>
      </c>
      <c r="H258">
        <v>464</v>
      </c>
      <c r="I258">
        <v>0.3</v>
      </c>
      <c r="J258">
        <v>1624</v>
      </c>
      <c r="K258">
        <v>109.47430615393669</v>
      </c>
      <c r="L258" t="s">
        <v>32</v>
      </c>
      <c r="M258" t="s">
        <v>36</v>
      </c>
    </row>
    <row r="259" spans="1:13" x14ac:dyDescent="0.25">
      <c r="A259">
        <v>1797</v>
      </c>
      <c r="B259" s="2">
        <v>44790</v>
      </c>
      <c r="C259" t="s">
        <v>14</v>
      </c>
      <c r="D259" t="s">
        <v>23</v>
      </c>
      <c r="E259" t="s">
        <v>25</v>
      </c>
      <c r="F259" t="s">
        <v>31</v>
      </c>
      <c r="G259">
        <v>8</v>
      </c>
      <c r="H259">
        <v>407</v>
      </c>
      <c r="I259">
        <v>0.3</v>
      </c>
      <c r="J259">
        <v>2279.1999999999998</v>
      </c>
      <c r="K259">
        <v>271.74017690787548</v>
      </c>
      <c r="L259" t="s">
        <v>32</v>
      </c>
      <c r="M259" t="s">
        <v>34</v>
      </c>
    </row>
    <row r="260" spans="1:13" x14ac:dyDescent="0.25">
      <c r="A260">
        <v>1035</v>
      </c>
      <c r="B260" s="2">
        <v>44771</v>
      </c>
      <c r="C260" t="s">
        <v>18</v>
      </c>
      <c r="D260" t="s">
        <v>21</v>
      </c>
      <c r="E260" t="s">
        <v>26</v>
      </c>
      <c r="F260" t="s">
        <v>27</v>
      </c>
      <c r="G260">
        <v>9</v>
      </c>
      <c r="H260">
        <v>242</v>
      </c>
      <c r="I260">
        <v>0.1</v>
      </c>
      <c r="J260">
        <v>1960.2</v>
      </c>
      <c r="K260">
        <v>284.43482467908092</v>
      </c>
      <c r="L260" t="s">
        <v>32</v>
      </c>
      <c r="M260" t="s">
        <v>34</v>
      </c>
    </row>
    <row r="261" spans="1:13" x14ac:dyDescent="0.25">
      <c r="A261">
        <v>1385</v>
      </c>
      <c r="B261" s="2">
        <v>44837</v>
      </c>
      <c r="C261" t="s">
        <v>18</v>
      </c>
      <c r="D261" t="s">
        <v>21</v>
      </c>
      <c r="E261" t="s">
        <v>26</v>
      </c>
      <c r="F261" t="s">
        <v>27</v>
      </c>
      <c r="G261">
        <v>4</v>
      </c>
      <c r="H261">
        <v>221</v>
      </c>
      <c r="I261">
        <v>0.3</v>
      </c>
      <c r="J261">
        <v>618.79999999999995</v>
      </c>
      <c r="K261">
        <v>68.048525243344642</v>
      </c>
      <c r="L261" t="s">
        <v>32</v>
      </c>
      <c r="M261" t="s">
        <v>35</v>
      </c>
    </row>
    <row r="262" spans="1:13" x14ac:dyDescent="0.25">
      <c r="A262">
        <v>1230</v>
      </c>
      <c r="B262" s="2">
        <v>44797</v>
      </c>
      <c r="C262" t="s">
        <v>13</v>
      </c>
      <c r="D262" t="s">
        <v>22</v>
      </c>
      <c r="E262" t="s">
        <v>24</v>
      </c>
      <c r="F262" t="s">
        <v>27</v>
      </c>
      <c r="G262">
        <v>8</v>
      </c>
      <c r="H262">
        <v>146</v>
      </c>
      <c r="I262">
        <v>0.1</v>
      </c>
      <c r="J262">
        <v>1051.2</v>
      </c>
      <c r="K262">
        <v>92.533005630813321</v>
      </c>
      <c r="L262" t="s">
        <v>32</v>
      </c>
      <c r="M262" t="s">
        <v>34</v>
      </c>
    </row>
    <row r="263" spans="1:13" x14ac:dyDescent="0.25">
      <c r="A263">
        <v>1555</v>
      </c>
      <c r="B263" s="2">
        <v>44788</v>
      </c>
      <c r="C263" t="s">
        <v>14</v>
      </c>
      <c r="D263" t="s">
        <v>23</v>
      </c>
      <c r="E263" t="s">
        <v>25</v>
      </c>
      <c r="F263" t="s">
        <v>30</v>
      </c>
      <c r="G263">
        <v>2</v>
      </c>
      <c r="H263">
        <v>103</v>
      </c>
      <c r="I263">
        <v>0.1</v>
      </c>
      <c r="J263">
        <v>185.4</v>
      </c>
      <c r="K263">
        <v>49.000258561892203</v>
      </c>
      <c r="L263" t="s">
        <v>32</v>
      </c>
      <c r="M263" t="s">
        <v>35</v>
      </c>
    </row>
    <row r="264" spans="1:13" x14ac:dyDescent="0.25">
      <c r="A264">
        <v>1818</v>
      </c>
      <c r="B264" s="2">
        <v>44817</v>
      </c>
      <c r="C264" t="s">
        <v>17</v>
      </c>
      <c r="D264" t="s">
        <v>21</v>
      </c>
      <c r="E264" t="s">
        <v>24</v>
      </c>
      <c r="F264" t="s">
        <v>31</v>
      </c>
      <c r="G264">
        <v>8</v>
      </c>
      <c r="H264">
        <v>411</v>
      </c>
      <c r="I264">
        <v>0</v>
      </c>
      <c r="J264">
        <v>3288</v>
      </c>
      <c r="K264">
        <v>896.19211958063329</v>
      </c>
      <c r="L264" t="s">
        <v>32</v>
      </c>
      <c r="M264" t="s">
        <v>34</v>
      </c>
    </row>
    <row r="265" spans="1:13" x14ac:dyDescent="0.25">
      <c r="A265">
        <v>1674</v>
      </c>
      <c r="B265" s="2">
        <v>44707</v>
      </c>
      <c r="C265" t="s">
        <v>19</v>
      </c>
      <c r="D265" t="s">
        <v>23</v>
      </c>
      <c r="E265" t="s">
        <v>26</v>
      </c>
      <c r="F265" t="s">
        <v>27</v>
      </c>
      <c r="G265">
        <v>2</v>
      </c>
      <c r="H265">
        <v>185</v>
      </c>
      <c r="I265">
        <v>0.1</v>
      </c>
      <c r="J265">
        <v>333</v>
      </c>
      <c r="K265">
        <v>38.308136097590761</v>
      </c>
      <c r="L265" t="s">
        <v>33</v>
      </c>
      <c r="M265" t="s">
        <v>34</v>
      </c>
    </row>
    <row r="266" spans="1:13" x14ac:dyDescent="0.25">
      <c r="A266">
        <v>1058</v>
      </c>
      <c r="B266" s="2">
        <v>44602</v>
      </c>
      <c r="C266" t="s">
        <v>16</v>
      </c>
      <c r="D266" t="s">
        <v>23</v>
      </c>
      <c r="E266" t="s">
        <v>26</v>
      </c>
      <c r="F266" t="s">
        <v>27</v>
      </c>
      <c r="G266">
        <v>5</v>
      </c>
      <c r="H266">
        <v>58</v>
      </c>
      <c r="I266">
        <v>0.2</v>
      </c>
      <c r="J266">
        <v>232</v>
      </c>
      <c r="K266">
        <v>51.945852496814801</v>
      </c>
      <c r="L266" t="s">
        <v>32</v>
      </c>
      <c r="M266" t="s">
        <v>34</v>
      </c>
    </row>
    <row r="267" spans="1:13" x14ac:dyDescent="0.25">
      <c r="A267">
        <v>1385</v>
      </c>
      <c r="B267" s="2">
        <v>44589</v>
      </c>
      <c r="C267" t="s">
        <v>16</v>
      </c>
      <c r="D267" t="s">
        <v>22</v>
      </c>
      <c r="E267" t="s">
        <v>24</v>
      </c>
      <c r="F267" t="s">
        <v>27</v>
      </c>
      <c r="G267">
        <v>6</v>
      </c>
      <c r="H267">
        <v>435</v>
      </c>
      <c r="I267">
        <v>0.1</v>
      </c>
      <c r="J267">
        <v>2349</v>
      </c>
      <c r="K267">
        <v>333.52320620214908</v>
      </c>
      <c r="L267" t="s">
        <v>32</v>
      </c>
      <c r="M267" t="s">
        <v>34</v>
      </c>
    </row>
    <row r="268" spans="1:13" x14ac:dyDescent="0.25">
      <c r="A268">
        <v>1806</v>
      </c>
      <c r="B268" s="2">
        <v>44836</v>
      </c>
      <c r="C268" t="s">
        <v>17</v>
      </c>
      <c r="D268" t="s">
        <v>21</v>
      </c>
      <c r="E268" t="s">
        <v>25</v>
      </c>
      <c r="F268" t="s">
        <v>29</v>
      </c>
      <c r="G268">
        <v>2</v>
      </c>
      <c r="H268">
        <v>431</v>
      </c>
      <c r="J268">
        <v>862</v>
      </c>
      <c r="K268">
        <v>64.787376621821437</v>
      </c>
      <c r="L268" t="s">
        <v>32</v>
      </c>
      <c r="M268" t="s">
        <v>36</v>
      </c>
    </row>
    <row r="269" spans="1:13" x14ac:dyDescent="0.25">
      <c r="A269">
        <v>1471</v>
      </c>
      <c r="B269" s="2">
        <v>44701</v>
      </c>
      <c r="C269" t="s">
        <v>14</v>
      </c>
      <c r="D269" t="s">
        <v>20</v>
      </c>
      <c r="E269" t="s">
        <v>24</v>
      </c>
      <c r="F269" t="s">
        <v>27</v>
      </c>
      <c r="G269">
        <v>7</v>
      </c>
      <c r="H269">
        <v>293</v>
      </c>
      <c r="I269">
        <v>0</v>
      </c>
      <c r="J269">
        <v>2051</v>
      </c>
      <c r="K269">
        <v>442.90816158653342</v>
      </c>
      <c r="L269" t="s">
        <v>32</v>
      </c>
      <c r="M269" t="s">
        <v>36</v>
      </c>
    </row>
    <row r="270" spans="1:13" x14ac:dyDescent="0.25">
      <c r="A270">
        <v>1524</v>
      </c>
      <c r="B270" s="2">
        <v>44772</v>
      </c>
      <c r="C270" t="s">
        <v>17</v>
      </c>
      <c r="D270" t="s">
        <v>21</v>
      </c>
      <c r="E270" t="s">
        <v>25</v>
      </c>
      <c r="F270" t="s">
        <v>28</v>
      </c>
      <c r="G270">
        <v>3</v>
      </c>
      <c r="H270">
        <v>435</v>
      </c>
      <c r="I270">
        <v>0.3</v>
      </c>
      <c r="J270">
        <v>913.49999999999989</v>
      </c>
      <c r="K270">
        <v>222.80535645507169</v>
      </c>
      <c r="L270" t="s">
        <v>32</v>
      </c>
      <c r="M270" t="s">
        <v>34</v>
      </c>
    </row>
    <row r="271" spans="1:13" x14ac:dyDescent="0.25">
      <c r="A271">
        <v>1661</v>
      </c>
      <c r="B271" s="2">
        <v>44582</v>
      </c>
      <c r="C271" t="s">
        <v>14</v>
      </c>
      <c r="D271" t="s">
        <v>20</v>
      </c>
      <c r="E271" t="s">
        <v>26</v>
      </c>
      <c r="F271" t="s">
        <v>27</v>
      </c>
      <c r="G271">
        <v>4</v>
      </c>
      <c r="H271">
        <v>26</v>
      </c>
      <c r="J271">
        <v>104</v>
      </c>
      <c r="K271">
        <v>19.60988936743243</v>
      </c>
      <c r="L271" t="s">
        <v>32</v>
      </c>
      <c r="M271" t="s">
        <v>34</v>
      </c>
    </row>
    <row r="272" spans="1:13" x14ac:dyDescent="0.25">
      <c r="A272">
        <v>1899</v>
      </c>
      <c r="B272" s="2">
        <v>44762</v>
      </c>
      <c r="C272" t="s">
        <v>15</v>
      </c>
      <c r="D272" t="s">
        <v>20</v>
      </c>
      <c r="E272" t="s">
        <v>24</v>
      </c>
      <c r="F272" t="s">
        <v>28</v>
      </c>
      <c r="G272">
        <v>1</v>
      </c>
      <c r="H272">
        <v>478</v>
      </c>
      <c r="I272">
        <v>0.1</v>
      </c>
      <c r="J272">
        <v>430.2</v>
      </c>
      <c r="K272">
        <v>24.431856152808962</v>
      </c>
      <c r="L272" t="s">
        <v>33</v>
      </c>
      <c r="M272" t="s">
        <v>34</v>
      </c>
    </row>
    <row r="273" spans="1:13" x14ac:dyDescent="0.25">
      <c r="A273">
        <v>1105</v>
      </c>
      <c r="B273" s="2">
        <v>44655</v>
      </c>
      <c r="C273" t="s">
        <v>15</v>
      </c>
      <c r="D273" t="s">
        <v>21</v>
      </c>
      <c r="E273" t="s">
        <v>25</v>
      </c>
      <c r="F273" t="s">
        <v>30</v>
      </c>
      <c r="G273">
        <v>1</v>
      </c>
      <c r="H273">
        <v>164</v>
      </c>
      <c r="J273">
        <v>164</v>
      </c>
      <c r="K273">
        <v>29.44122941579144</v>
      </c>
      <c r="L273" t="s">
        <v>32</v>
      </c>
      <c r="M273" t="s">
        <v>36</v>
      </c>
    </row>
    <row r="274" spans="1:13" x14ac:dyDescent="0.25">
      <c r="A274">
        <v>1466</v>
      </c>
      <c r="B274" s="2">
        <v>44572</v>
      </c>
      <c r="C274" t="s">
        <v>13</v>
      </c>
      <c r="D274" t="s">
        <v>20</v>
      </c>
      <c r="E274" t="s">
        <v>24</v>
      </c>
      <c r="F274" t="s">
        <v>30</v>
      </c>
      <c r="G274">
        <v>9</v>
      </c>
      <c r="H274">
        <v>211</v>
      </c>
      <c r="I274">
        <v>0.1</v>
      </c>
      <c r="J274">
        <v>1709.1</v>
      </c>
      <c r="K274">
        <v>127.8313225011277</v>
      </c>
      <c r="L274" t="s">
        <v>32</v>
      </c>
      <c r="M274" t="s">
        <v>36</v>
      </c>
    </row>
    <row r="275" spans="1:13" x14ac:dyDescent="0.25">
      <c r="A275">
        <v>1343</v>
      </c>
      <c r="B275" s="2">
        <v>44585</v>
      </c>
      <c r="C275" t="s">
        <v>13</v>
      </c>
      <c r="D275" t="s">
        <v>21</v>
      </c>
      <c r="E275" t="s">
        <v>24</v>
      </c>
      <c r="F275" t="s">
        <v>28</v>
      </c>
      <c r="G275">
        <v>2</v>
      </c>
      <c r="H275">
        <v>52</v>
      </c>
      <c r="I275">
        <v>0</v>
      </c>
      <c r="J275">
        <v>104</v>
      </c>
      <c r="K275">
        <v>6.118095228446216</v>
      </c>
      <c r="L275" t="s">
        <v>32</v>
      </c>
      <c r="M275" t="s">
        <v>35</v>
      </c>
    </row>
    <row r="276" spans="1:13" x14ac:dyDescent="0.25">
      <c r="A276">
        <v>1555</v>
      </c>
      <c r="B276" s="2">
        <v>44662</v>
      </c>
      <c r="C276" t="s">
        <v>13</v>
      </c>
      <c r="D276" t="s">
        <v>21</v>
      </c>
      <c r="E276" t="s">
        <v>25</v>
      </c>
      <c r="F276" t="s">
        <v>29</v>
      </c>
      <c r="G276">
        <v>5</v>
      </c>
      <c r="H276">
        <v>69</v>
      </c>
      <c r="I276">
        <v>0.1</v>
      </c>
      <c r="J276">
        <v>310.5</v>
      </c>
      <c r="K276">
        <v>29.97112256031728</v>
      </c>
      <c r="L276" t="s">
        <v>32</v>
      </c>
      <c r="M276" t="s">
        <v>34</v>
      </c>
    </row>
    <row r="277" spans="1:13" x14ac:dyDescent="0.25">
      <c r="A277">
        <v>1330</v>
      </c>
      <c r="B277" s="2">
        <v>44574</v>
      </c>
      <c r="C277" t="s">
        <v>14</v>
      </c>
      <c r="D277" t="s">
        <v>21</v>
      </c>
      <c r="E277" t="s">
        <v>26</v>
      </c>
      <c r="F277" t="s">
        <v>29</v>
      </c>
      <c r="G277">
        <v>6</v>
      </c>
      <c r="H277">
        <v>304</v>
      </c>
      <c r="I277">
        <v>0.3</v>
      </c>
      <c r="J277">
        <v>1276.8</v>
      </c>
      <c r="K277">
        <v>319.2226532087717</v>
      </c>
      <c r="L277" t="s">
        <v>32</v>
      </c>
      <c r="M277" t="s">
        <v>36</v>
      </c>
    </row>
    <row r="278" spans="1:13" x14ac:dyDescent="0.25">
      <c r="A278">
        <v>1472</v>
      </c>
      <c r="B278" s="2">
        <v>44796</v>
      </c>
      <c r="C278" t="s">
        <v>13</v>
      </c>
      <c r="D278" t="s">
        <v>22</v>
      </c>
      <c r="E278" t="s">
        <v>24</v>
      </c>
      <c r="F278" t="s">
        <v>31</v>
      </c>
      <c r="G278">
        <v>9</v>
      </c>
      <c r="H278">
        <v>22</v>
      </c>
      <c r="I278">
        <v>0.2</v>
      </c>
      <c r="J278">
        <v>158.4</v>
      </c>
      <c r="K278">
        <v>33.829985072068489</v>
      </c>
      <c r="L278" t="s">
        <v>33</v>
      </c>
      <c r="M278" t="s">
        <v>34</v>
      </c>
    </row>
    <row r="279" spans="1:13" x14ac:dyDescent="0.25">
      <c r="A279">
        <v>1838</v>
      </c>
      <c r="B279" s="2">
        <v>44774</v>
      </c>
      <c r="C279" t="s">
        <v>14</v>
      </c>
      <c r="D279" t="s">
        <v>20</v>
      </c>
      <c r="E279" t="s">
        <v>25</v>
      </c>
      <c r="F279" t="s">
        <v>27</v>
      </c>
      <c r="G279">
        <v>1</v>
      </c>
      <c r="H279">
        <v>389</v>
      </c>
      <c r="I279">
        <v>0.2</v>
      </c>
      <c r="J279">
        <v>311.2</v>
      </c>
      <c r="K279">
        <v>31.413030520134221</v>
      </c>
      <c r="L279" t="s">
        <v>32</v>
      </c>
      <c r="M279" t="s">
        <v>36</v>
      </c>
    </row>
    <row r="280" spans="1:13" x14ac:dyDescent="0.25">
      <c r="A280">
        <v>1769</v>
      </c>
      <c r="B280" s="2">
        <v>44584</v>
      </c>
      <c r="C280" t="s">
        <v>16</v>
      </c>
      <c r="D280" t="s">
        <v>20</v>
      </c>
      <c r="E280" t="s">
        <v>26</v>
      </c>
      <c r="F280" t="s">
        <v>27</v>
      </c>
      <c r="G280">
        <v>6</v>
      </c>
      <c r="H280">
        <v>414</v>
      </c>
      <c r="J280">
        <v>2484</v>
      </c>
      <c r="K280">
        <v>596.77526197744623</v>
      </c>
      <c r="L280" t="s">
        <v>32</v>
      </c>
      <c r="M280" t="s">
        <v>36</v>
      </c>
    </row>
    <row r="281" spans="1:13" x14ac:dyDescent="0.25">
      <c r="A281">
        <v>1612</v>
      </c>
      <c r="B281" s="2">
        <v>44736</v>
      </c>
      <c r="C281" t="s">
        <v>17</v>
      </c>
      <c r="D281" t="s">
        <v>22</v>
      </c>
      <c r="E281" t="s">
        <v>25</v>
      </c>
      <c r="F281" t="s">
        <v>30</v>
      </c>
      <c r="G281">
        <v>1</v>
      </c>
      <c r="H281">
        <v>261</v>
      </c>
      <c r="I281">
        <v>0</v>
      </c>
      <c r="J281">
        <v>261</v>
      </c>
      <c r="K281">
        <v>68.510892989113188</v>
      </c>
      <c r="L281" t="s">
        <v>32</v>
      </c>
      <c r="M281" t="s">
        <v>35</v>
      </c>
    </row>
    <row r="282" spans="1:13" x14ac:dyDescent="0.25">
      <c r="A282">
        <v>1878</v>
      </c>
      <c r="B282" s="2">
        <v>44681</v>
      </c>
      <c r="C282" t="s">
        <v>16</v>
      </c>
      <c r="D282" t="s">
        <v>23</v>
      </c>
      <c r="E282" t="s">
        <v>25</v>
      </c>
      <c r="F282" t="s">
        <v>29</v>
      </c>
      <c r="G282">
        <v>9</v>
      </c>
      <c r="H282">
        <v>401</v>
      </c>
      <c r="I282">
        <v>0.3</v>
      </c>
      <c r="J282">
        <v>2526.3000000000002</v>
      </c>
      <c r="K282">
        <v>304.53730169935778</v>
      </c>
      <c r="L282" t="s">
        <v>32</v>
      </c>
      <c r="M282" t="s">
        <v>36</v>
      </c>
    </row>
    <row r="283" spans="1:13" x14ac:dyDescent="0.25">
      <c r="A283">
        <v>1795</v>
      </c>
      <c r="B283" s="2">
        <v>44778</v>
      </c>
      <c r="C283" t="s">
        <v>17</v>
      </c>
      <c r="D283" t="s">
        <v>21</v>
      </c>
      <c r="E283" t="s">
        <v>24</v>
      </c>
      <c r="F283" t="s">
        <v>28</v>
      </c>
      <c r="G283">
        <v>1</v>
      </c>
      <c r="H283">
        <v>197</v>
      </c>
      <c r="J283">
        <v>197</v>
      </c>
      <c r="K283">
        <v>38.296473269647009</v>
      </c>
      <c r="L283" t="s">
        <v>32</v>
      </c>
      <c r="M283" t="s">
        <v>35</v>
      </c>
    </row>
    <row r="284" spans="1:13" x14ac:dyDescent="0.25">
      <c r="A284">
        <v>1577</v>
      </c>
      <c r="B284" s="2">
        <v>44779</v>
      </c>
      <c r="C284" t="s">
        <v>14</v>
      </c>
      <c r="D284" t="s">
        <v>21</v>
      </c>
      <c r="E284" t="s">
        <v>24</v>
      </c>
      <c r="F284" t="s">
        <v>29</v>
      </c>
      <c r="G284">
        <v>8</v>
      </c>
      <c r="H284">
        <v>367</v>
      </c>
      <c r="I284">
        <v>0.3</v>
      </c>
      <c r="J284">
        <v>2055.1999999999998</v>
      </c>
      <c r="K284">
        <v>428.80844613734598</v>
      </c>
      <c r="L284" t="s">
        <v>33</v>
      </c>
      <c r="M284" t="s">
        <v>35</v>
      </c>
    </row>
    <row r="285" spans="1:13" x14ac:dyDescent="0.25">
      <c r="A285">
        <v>1794</v>
      </c>
      <c r="B285" s="2">
        <v>44747</v>
      </c>
      <c r="C285" t="s">
        <v>19</v>
      </c>
      <c r="D285" t="s">
        <v>22</v>
      </c>
      <c r="E285" t="s">
        <v>26</v>
      </c>
      <c r="F285" t="s">
        <v>30</v>
      </c>
      <c r="G285">
        <v>8</v>
      </c>
      <c r="H285">
        <v>173</v>
      </c>
      <c r="I285">
        <v>0.2</v>
      </c>
      <c r="J285">
        <v>1107.2</v>
      </c>
      <c r="K285">
        <v>273.00180558950029</v>
      </c>
      <c r="L285" t="s">
        <v>32</v>
      </c>
      <c r="M285" t="s">
        <v>34</v>
      </c>
    </row>
    <row r="286" spans="1:13" x14ac:dyDescent="0.25">
      <c r="A286">
        <v>1768</v>
      </c>
      <c r="B286" s="2">
        <v>44740</v>
      </c>
      <c r="C286" t="s">
        <v>18</v>
      </c>
      <c r="D286" t="s">
        <v>20</v>
      </c>
      <c r="E286" t="s">
        <v>24</v>
      </c>
      <c r="F286" t="s">
        <v>30</v>
      </c>
      <c r="G286">
        <v>9</v>
      </c>
      <c r="H286">
        <v>308</v>
      </c>
      <c r="I286">
        <v>0.2</v>
      </c>
      <c r="J286">
        <v>2217.6</v>
      </c>
      <c r="K286">
        <v>471.77969018848893</v>
      </c>
      <c r="L286" t="s">
        <v>32</v>
      </c>
      <c r="M286" t="s">
        <v>36</v>
      </c>
    </row>
    <row r="287" spans="1:13" x14ac:dyDescent="0.25">
      <c r="A287">
        <v>1831</v>
      </c>
      <c r="B287" s="2">
        <v>44617</v>
      </c>
      <c r="C287" t="s">
        <v>13</v>
      </c>
      <c r="D287" t="s">
        <v>21</v>
      </c>
      <c r="E287" t="s">
        <v>26</v>
      </c>
      <c r="F287" t="s">
        <v>28</v>
      </c>
      <c r="G287">
        <v>6</v>
      </c>
      <c r="H287">
        <v>214</v>
      </c>
      <c r="I287">
        <v>0.1</v>
      </c>
      <c r="J287">
        <v>1155.5999999999999</v>
      </c>
      <c r="K287">
        <v>290.34132200777441</v>
      </c>
      <c r="L287" t="s">
        <v>32</v>
      </c>
      <c r="M287" t="s">
        <v>36</v>
      </c>
    </row>
    <row r="288" spans="1:13" x14ac:dyDescent="0.25">
      <c r="A288">
        <v>1726</v>
      </c>
      <c r="B288" s="2">
        <v>44673</v>
      </c>
      <c r="C288" t="s">
        <v>14</v>
      </c>
      <c r="D288" t="s">
        <v>21</v>
      </c>
      <c r="E288" t="s">
        <v>25</v>
      </c>
      <c r="F288" t="s">
        <v>31</v>
      </c>
      <c r="G288">
        <v>7</v>
      </c>
      <c r="H288">
        <v>423</v>
      </c>
      <c r="I288">
        <v>0.2</v>
      </c>
      <c r="J288">
        <v>2368.8000000000002</v>
      </c>
      <c r="K288">
        <v>212.54541689379121</v>
      </c>
      <c r="L288" t="s">
        <v>32</v>
      </c>
      <c r="M288" t="s">
        <v>35</v>
      </c>
    </row>
    <row r="289" spans="1:13" x14ac:dyDescent="0.25">
      <c r="A289">
        <v>1240</v>
      </c>
      <c r="B289" s="2">
        <v>44759</v>
      </c>
      <c r="C289" t="s">
        <v>13</v>
      </c>
      <c r="D289" t="s">
        <v>21</v>
      </c>
      <c r="E289" t="s">
        <v>26</v>
      </c>
      <c r="F289" t="s">
        <v>27</v>
      </c>
      <c r="G289">
        <v>2</v>
      </c>
      <c r="H289">
        <v>447</v>
      </c>
      <c r="I289">
        <v>0.3</v>
      </c>
      <c r="J289">
        <v>625.79999999999995</v>
      </c>
      <c r="K289">
        <v>101.88639539711561</v>
      </c>
      <c r="L289" t="s">
        <v>32</v>
      </c>
      <c r="M289" t="s">
        <v>34</v>
      </c>
    </row>
    <row r="290" spans="1:13" x14ac:dyDescent="0.25">
      <c r="A290">
        <v>1461</v>
      </c>
      <c r="B290" s="2">
        <v>44738</v>
      </c>
      <c r="C290" t="s">
        <v>18</v>
      </c>
      <c r="D290" t="s">
        <v>21</v>
      </c>
      <c r="E290" t="s">
        <v>26</v>
      </c>
      <c r="F290" t="s">
        <v>28</v>
      </c>
      <c r="G290">
        <v>9</v>
      </c>
      <c r="H290">
        <v>21</v>
      </c>
      <c r="I290">
        <v>0.1</v>
      </c>
      <c r="J290">
        <v>170.1</v>
      </c>
      <c r="K290">
        <v>28.164118731550818</v>
      </c>
      <c r="L290" t="s">
        <v>32</v>
      </c>
      <c r="M290" t="s">
        <v>35</v>
      </c>
    </row>
    <row r="291" spans="1:13" x14ac:dyDescent="0.25">
      <c r="A291">
        <v>1942</v>
      </c>
      <c r="B291" s="2">
        <v>44644</v>
      </c>
      <c r="C291" t="s">
        <v>15</v>
      </c>
      <c r="D291" t="s">
        <v>21</v>
      </c>
      <c r="E291" t="s">
        <v>26</v>
      </c>
      <c r="F291" t="s">
        <v>28</v>
      </c>
      <c r="G291">
        <v>7</v>
      </c>
      <c r="H291">
        <v>300</v>
      </c>
      <c r="I291">
        <v>0.3</v>
      </c>
      <c r="J291">
        <v>1470</v>
      </c>
      <c r="K291">
        <v>382.12733997108933</v>
      </c>
      <c r="L291" t="s">
        <v>32</v>
      </c>
      <c r="M291" t="s">
        <v>34</v>
      </c>
    </row>
    <row r="292" spans="1:13" x14ac:dyDescent="0.25">
      <c r="A292">
        <v>1062</v>
      </c>
      <c r="B292" s="2">
        <v>44702</v>
      </c>
      <c r="C292" t="s">
        <v>19</v>
      </c>
      <c r="D292" t="s">
        <v>21</v>
      </c>
      <c r="E292" t="s">
        <v>25</v>
      </c>
      <c r="F292" t="s">
        <v>30</v>
      </c>
      <c r="G292">
        <v>8</v>
      </c>
      <c r="H292">
        <v>497</v>
      </c>
      <c r="I292">
        <v>0</v>
      </c>
      <c r="J292">
        <v>3976</v>
      </c>
      <c r="K292">
        <v>1156.4140676082691</v>
      </c>
      <c r="L292" t="s">
        <v>32</v>
      </c>
      <c r="M292" t="s">
        <v>36</v>
      </c>
    </row>
    <row r="293" spans="1:13" x14ac:dyDescent="0.25">
      <c r="A293">
        <v>1729</v>
      </c>
      <c r="B293" s="2">
        <v>44661</v>
      </c>
      <c r="C293" t="s">
        <v>19</v>
      </c>
      <c r="D293" t="s">
        <v>23</v>
      </c>
      <c r="E293" t="s">
        <v>25</v>
      </c>
      <c r="F293" t="s">
        <v>27</v>
      </c>
      <c r="G293">
        <v>8</v>
      </c>
      <c r="H293">
        <v>193</v>
      </c>
      <c r="I293">
        <v>0.3</v>
      </c>
      <c r="J293">
        <v>1080.8</v>
      </c>
      <c r="K293">
        <v>281.53044974714669</v>
      </c>
      <c r="L293" t="s">
        <v>32</v>
      </c>
      <c r="M293" t="s">
        <v>36</v>
      </c>
    </row>
    <row r="294" spans="1:13" x14ac:dyDescent="0.25">
      <c r="A294">
        <v>1502</v>
      </c>
      <c r="B294" s="2">
        <v>44723</v>
      </c>
      <c r="C294" t="s">
        <v>18</v>
      </c>
      <c r="D294" t="s">
        <v>21</v>
      </c>
      <c r="E294" t="s">
        <v>25</v>
      </c>
      <c r="F294" t="s">
        <v>31</v>
      </c>
      <c r="G294">
        <v>9</v>
      </c>
      <c r="H294">
        <v>396</v>
      </c>
      <c r="J294">
        <v>3564</v>
      </c>
      <c r="K294">
        <v>678.24950435972971</v>
      </c>
      <c r="L294" t="s">
        <v>32</v>
      </c>
      <c r="M294" t="s">
        <v>36</v>
      </c>
    </row>
    <row r="295" spans="1:13" x14ac:dyDescent="0.25">
      <c r="A295">
        <v>1343</v>
      </c>
      <c r="B295" s="2">
        <v>44698</v>
      </c>
      <c r="C295" t="s">
        <v>13</v>
      </c>
      <c r="D295" t="s">
        <v>23</v>
      </c>
      <c r="E295" t="s">
        <v>25</v>
      </c>
      <c r="F295" t="s">
        <v>30</v>
      </c>
      <c r="G295">
        <v>8</v>
      </c>
      <c r="H295">
        <v>228</v>
      </c>
      <c r="I295">
        <v>0.2</v>
      </c>
      <c r="J295">
        <v>1459.2</v>
      </c>
      <c r="K295">
        <v>199.6708454192258</v>
      </c>
      <c r="L295" t="s">
        <v>33</v>
      </c>
      <c r="M295" t="s">
        <v>34</v>
      </c>
    </row>
    <row r="296" spans="1:13" x14ac:dyDescent="0.25">
      <c r="A296">
        <v>1418</v>
      </c>
      <c r="B296" s="2">
        <v>44708</v>
      </c>
      <c r="C296" t="s">
        <v>19</v>
      </c>
      <c r="D296" t="s">
        <v>21</v>
      </c>
      <c r="E296" t="s">
        <v>24</v>
      </c>
      <c r="F296" t="s">
        <v>31</v>
      </c>
      <c r="G296">
        <v>1</v>
      </c>
      <c r="H296">
        <v>51</v>
      </c>
      <c r="I296">
        <v>0.3</v>
      </c>
      <c r="J296">
        <v>35.700000000000003</v>
      </c>
      <c r="K296">
        <v>8.3075771124530124</v>
      </c>
      <c r="L296" t="s">
        <v>32</v>
      </c>
      <c r="M296" t="s">
        <v>34</v>
      </c>
    </row>
    <row r="297" spans="1:13" x14ac:dyDescent="0.25">
      <c r="A297">
        <v>1862</v>
      </c>
      <c r="B297" s="2">
        <v>44668</v>
      </c>
      <c r="C297" t="s">
        <v>16</v>
      </c>
      <c r="D297" t="s">
        <v>21</v>
      </c>
      <c r="E297" t="s">
        <v>24</v>
      </c>
      <c r="F297" t="s">
        <v>28</v>
      </c>
      <c r="G297">
        <v>8</v>
      </c>
      <c r="H297">
        <v>200</v>
      </c>
      <c r="I297">
        <v>0.1</v>
      </c>
      <c r="J297">
        <v>1440</v>
      </c>
      <c r="K297">
        <v>334.05815051055538</v>
      </c>
      <c r="L297" t="s">
        <v>32</v>
      </c>
      <c r="M297" t="s">
        <v>34</v>
      </c>
    </row>
    <row r="298" spans="1:13" x14ac:dyDescent="0.25">
      <c r="A298">
        <v>1273</v>
      </c>
      <c r="B298" s="2">
        <v>44626</v>
      </c>
      <c r="C298" t="s">
        <v>17</v>
      </c>
      <c r="D298" t="s">
        <v>23</v>
      </c>
      <c r="E298" t="s">
        <v>24</v>
      </c>
      <c r="F298" t="s">
        <v>28</v>
      </c>
      <c r="G298">
        <v>4</v>
      </c>
      <c r="H298">
        <v>483</v>
      </c>
      <c r="I298">
        <v>0.3</v>
      </c>
      <c r="J298">
        <v>1352.4</v>
      </c>
      <c r="K298">
        <v>334.2507195557406</v>
      </c>
      <c r="L298" t="s">
        <v>33</v>
      </c>
      <c r="M298" t="s">
        <v>34</v>
      </c>
    </row>
    <row r="299" spans="1:13" x14ac:dyDescent="0.25">
      <c r="A299">
        <v>1052</v>
      </c>
      <c r="B299" s="2">
        <v>44682</v>
      </c>
      <c r="C299" t="s">
        <v>18</v>
      </c>
      <c r="D299" t="s">
        <v>22</v>
      </c>
      <c r="E299" t="s">
        <v>25</v>
      </c>
      <c r="F299" t="s">
        <v>29</v>
      </c>
      <c r="G299">
        <v>3</v>
      </c>
      <c r="H299">
        <v>255</v>
      </c>
      <c r="I299">
        <v>0.1</v>
      </c>
      <c r="J299">
        <v>688.5</v>
      </c>
      <c r="K299">
        <v>79.471090813042821</v>
      </c>
      <c r="L299" t="s">
        <v>32</v>
      </c>
      <c r="M299" t="s">
        <v>36</v>
      </c>
    </row>
    <row r="300" spans="1:13" x14ac:dyDescent="0.25">
      <c r="A300">
        <v>1647</v>
      </c>
      <c r="B300" s="2">
        <v>44700</v>
      </c>
      <c r="C300" t="s">
        <v>19</v>
      </c>
      <c r="D300" t="s">
        <v>21</v>
      </c>
      <c r="E300" t="s">
        <v>25</v>
      </c>
      <c r="F300" t="s">
        <v>31</v>
      </c>
      <c r="G300">
        <v>7</v>
      </c>
      <c r="H300">
        <v>296</v>
      </c>
      <c r="I300">
        <v>0.3</v>
      </c>
      <c r="J300">
        <v>1450.4</v>
      </c>
      <c r="K300">
        <v>80.433163670792496</v>
      </c>
      <c r="L300" t="s">
        <v>32</v>
      </c>
      <c r="M300" t="s">
        <v>35</v>
      </c>
    </row>
    <row r="301" spans="1:13" x14ac:dyDescent="0.25">
      <c r="A301">
        <v>1200</v>
      </c>
      <c r="B301" s="2">
        <v>44717</v>
      </c>
      <c r="C301" t="s">
        <v>17</v>
      </c>
      <c r="D301" t="s">
        <v>23</v>
      </c>
      <c r="E301" t="s">
        <v>25</v>
      </c>
      <c r="F301" t="s">
        <v>27</v>
      </c>
      <c r="G301">
        <v>4</v>
      </c>
      <c r="H301">
        <v>233</v>
      </c>
      <c r="J301">
        <v>932</v>
      </c>
      <c r="K301">
        <v>128.0349846962288</v>
      </c>
      <c r="L301" t="s">
        <v>32</v>
      </c>
      <c r="M301" t="s">
        <v>36</v>
      </c>
    </row>
    <row r="302" spans="1:13" x14ac:dyDescent="0.25">
      <c r="A302">
        <v>1839</v>
      </c>
      <c r="B302" s="2">
        <v>44718</v>
      </c>
      <c r="C302" t="s">
        <v>19</v>
      </c>
      <c r="D302" t="s">
        <v>23</v>
      </c>
      <c r="E302" t="s">
        <v>25</v>
      </c>
      <c r="F302" t="s">
        <v>30</v>
      </c>
      <c r="G302">
        <v>1</v>
      </c>
      <c r="H302">
        <v>198</v>
      </c>
      <c r="J302">
        <v>198</v>
      </c>
      <c r="K302">
        <v>15.5477413519527</v>
      </c>
      <c r="L302" t="s">
        <v>32</v>
      </c>
      <c r="M302" t="s">
        <v>34</v>
      </c>
    </row>
    <row r="303" spans="1:13" x14ac:dyDescent="0.25">
      <c r="A303">
        <v>1607</v>
      </c>
      <c r="B303" s="2">
        <v>44825</v>
      </c>
      <c r="C303" t="s">
        <v>19</v>
      </c>
      <c r="D303" t="s">
        <v>21</v>
      </c>
      <c r="E303" t="s">
        <v>24</v>
      </c>
      <c r="F303" t="s">
        <v>27</v>
      </c>
      <c r="G303">
        <v>9</v>
      </c>
      <c r="H303">
        <v>101</v>
      </c>
      <c r="I303">
        <v>0</v>
      </c>
      <c r="J303">
        <v>909</v>
      </c>
      <c r="K303">
        <v>116.88606322100679</v>
      </c>
      <c r="L303" t="s">
        <v>32</v>
      </c>
      <c r="M303" t="s">
        <v>36</v>
      </c>
    </row>
    <row r="304" spans="1:13" x14ac:dyDescent="0.25">
      <c r="A304">
        <v>1561</v>
      </c>
      <c r="B304" s="2">
        <v>44649</v>
      </c>
      <c r="C304" t="s">
        <v>14</v>
      </c>
      <c r="D304" t="s">
        <v>20</v>
      </c>
      <c r="E304" t="s">
        <v>26</v>
      </c>
      <c r="F304" t="s">
        <v>30</v>
      </c>
      <c r="G304">
        <v>3</v>
      </c>
      <c r="H304">
        <v>227</v>
      </c>
      <c r="I304">
        <v>0.3</v>
      </c>
      <c r="J304">
        <v>476.7</v>
      </c>
      <c r="K304">
        <v>67.004408758911467</v>
      </c>
      <c r="L304" t="s">
        <v>32</v>
      </c>
      <c r="M304" t="s">
        <v>35</v>
      </c>
    </row>
    <row r="305" spans="1:13" x14ac:dyDescent="0.25">
      <c r="A305">
        <v>1540</v>
      </c>
      <c r="B305" s="2">
        <v>44770</v>
      </c>
      <c r="C305" t="s">
        <v>18</v>
      </c>
      <c r="D305" t="s">
        <v>20</v>
      </c>
      <c r="E305" t="s">
        <v>26</v>
      </c>
      <c r="F305" t="s">
        <v>28</v>
      </c>
      <c r="G305">
        <v>1</v>
      </c>
      <c r="H305">
        <v>378</v>
      </c>
      <c r="I305">
        <v>0.2</v>
      </c>
      <c r="J305">
        <v>302.39999999999998</v>
      </c>
      <c r="K305">
        <v>77.270998941377059</v>
      </c>
      <c r="L305" t="s">
        <v>33</v>
      </c>
      <c r="M305" t="s">
        <v>36</v>
      </c>
    </row>
    <row r="306" spans="1:13" x14ac:dyDescent="0.25">
      <c r="A306">
        <v>1402</v>
      </c>
      <c r="B306" s="2">
        <v>44855</v>
      </c>
      <c r="C306" t="s">
        <v>19</v>
      </c>
      <c r="D306" t="s">
        <v>20</v>
      </c>
      <c r="E306" t="s">
        <v>26</v>
      </c>
      <c r="F306" t="s">
        <v>31</v>
      </c>
      <c r="G306">
        <v>4</v>
      </c>
      <c r="H306">
        <v>423</v>
      </c>
      <c r="I306">
        <v>0</v>
      </c>
      <c r="J306">
        <v>1692</v>
      </c>
      <c r="K306">
        <v>446.57686051714762</v>
      </c>
      <c r="L306" t="s">
        <v>32</v>
      </c>
      <c r="M306" t="s">
        <v>34</v>
      </c>
    </row>
    <row r="307" spans="1:13" x14ac:dyDescent="0.25">
      <c r="A307">
        <v>1698</v>
      </c>
      <c r="B307" s="2">
        <v>44775</v>
      </c>
      <c r="C307" t="s">
        <v>16</v>
      </c>
      <c r="D307" t="s">
        <v>22</v>
      </c>
      <c r="E307" t="s">
        <v>25</v>
      </c>
      <c r="F307" t="s">
        <v>27</v>
      </c>
      <c r="G307">
        <v>3</v>
      </c>
      <c r="H307">
        <v>223</v>
      </c>
      <c r="J307">
        <v>669</v>
      </c>
      <c r="K307">
        <v>120.97688081732051</v>
      </c>
      <c r="L307" t="s">
        <v>32</v>
      </c>
      <c r="M307" t="s">
        <v>34</v>
      </c>
    </row>
    <row r="308" spans="1:13" x14ac:dyDescent="0.25">
      <c r="A308">
        <v>1821</v>
      </c>
      <c r="B308" s="2">
        <v>44657</v>
      </c>
      <c r="C308" t="s">
        <v>15</v>
      </c>
      <c r="D308" t="s">
        <v>21</v>
      </c>
      <c r="E308" t="s">
        <v>24</v>
      </c>
      <c r="F308" t="s">
        <v>29</v>
      </c>
      <c r="G308">
        <v>7</v>
      </c>
      <c r="H308">
        <v>328</v>
      </c>
      <c r="J308">
        <v>2296</v>
      </c>
      <c r="K308">
        <v>654.74988669620541</v>
      </c>
      <c r="L308" t="s">
        <v>32</v>
      </c>
      <c r="M308" t="s">
        <v>36</v>
      </c>
    </row>
    <row r="309" spans="1:13" x14ac:dyDescent="0.25">
      <c r="A309">
        <v>1509</v>
      </c>
      <c r="B309" s="2">
        <v>44835</v>
      </c>
      <c r="C309" t="s">
        <v>15</v>
      </c>
      <c r="D309" t="s">
        <v>23</v>
      </c>
      <c r="E309" t="s">
        <v>25</v>
      </c>
      <c r="F309" t="s">
        <v>27</v>
      </c>
      <c r="G309">
        <v>7</v>
      </c>
      <c r="H309">
        <v>150</v>
      </c>
      <c r="I309">
        <v>0.2</v>
      </c>
      <c r="J309">
        <v>840</v>
      </c>
      <c r="K309">
        <v>215.45542466869719</v>
      </c>
      <c r="L309" t="s">
        <v>32</v>
      </c>
      <c r="M309" t="s">
        <v>35</v>
      </c>
    </row>
    <row r="310" spans="1:13" x14ac:dyDescent="0.25">
      <c r="A310">
        <v>1027</v>
      </c>
      <c r="B310" s="2">
        <v>44715</v>
      </c>
      <c r="C310" t="s">
        <v>15</v>
      </c>
      <c r="D310" t="s">
        <v>20</v>
      </c>
      <c r="E310" t="s">
        <v>26</v>
      </c>
      <c r="F310" t="s">
        <v>30</v>
      </c>
      <c r="G310">
        <v>3</v>
      </c>
      <c r="H310">
        <v>411</v>
      </c>
      <c r="J310">
        <v>1233</v>
      </c>
      <c r="K310">
        <v>361.27064285892129</v>
      </c>
      <c r="L310" t="s">
        <v>32</v>
      </c>
      <c r="M310" t="s">
        <v>36</v>
      </c>
    </row>
    <row r="311" spans="1:13" x14ac:dyDescent="0.25">
      <c r="A311">
        <v>1282</v>
      </c>
      <c r="B311" s="2">
        <v>44802</v>
      </c>
      <c r="C311" t="s">
        <v>14</v>
      </c>
      <c r="D311" t="s">
        <v>20</v>
      </c>
      <c r="E311" t="s">
        <v>26</v>
      </c>
      <c r="F311" t="s">
        <v>30</v>
      </c>
      <c r="G311">
        <v>6</v>
      </c>
      <c r="H311">
        <v>478</v>
      </c>
      <c r="J311">
        <v>2868</v>
      </c>
      <c r="K311">
        <v>719.58373491158068</v>
      </c>
      <c r="L311" t="s">
        <v>32</v>
      </c>
      <c r="M311" t="s">
        <v>36</v>
      </c>
    </row>
    <row r="312" spans="1:13" x14ac:dyDescent="0.25">
      <c r="A312">
        <v>1454</v>
      </c>
      <c r="B312" s="2">
        <v>44640</v>
      </c>
      <c r="C312" t="s">
        <v>13</v>
      </c>
      <c r="D312" t="s">
        <v>22</v>
      </c>
      <c r="E312" t="s">
        <v>25</v>
      </c>
      <c r="F312" t="s">
        <v>28</v>
      </c>
      <c r="G312">
        <v>1</v>
      </c>
      <c r="H312">
        <v>181</v>
      </c>
      <c r="I312">
        <v>0.3</v>
      </c>
      <c r="J312">
        <v>126.7</v>
      </c>
      <c r="K312">
        <v>26.48591802713327</v>
      </c>
      <c r="L312" t="s">
        <v>32</v>
      </c>
      <c r="M312" t="s">
        <v>36</v>
      </c>
    </row>
    <row r="313" spans="1:13" x14ac:dyDescent="0.25">
      <c r="A313">
        <v>1957</v>
      </c>
      <c r="B313" s="2">
        <v>44610</v>
      </c>
      <c r="C313" t="s">
        <v>18</v>
      </c>
      <c r="D313" t="s">
        <v>23</v>
      </c>
      <c r="E313" t="s">
        <v>24</v>
      </c>
      <c r="F313" t="s">
        <v>28</v>
      </c>
      <c r="G313">
        <v>5</v>
      </c>
      <c r="H313">
        <v>149</v>
      </c>
      <c r="I313">
        <v>0</v>
      </c>
      <c r="J313">
        <v>745</v>
      </c>
      <c r="K313">
        <v>156.88312919984861</v>
      </c>
      <c r="L313" t="s">
        <v>33</v>
      </c>
      <c r="M313" t="s">
        <v>35</v>
      </c>
    </row>
    <row r="314" spans="1:13" x14ac:dyDescent="0.25">
      <c r="A314">
        <v>1406</v>
      </c>
      <c r="B314" s="2">
        <v>44765</v>
      </c>
      <c r="C314" t="s">
        <v>13</v>
      </c>
      <c r="D314" t="s">
        <v>20</v>
      </c>
      <c r="E314" t="s">
        <v>25</v>
      </c>
      <c r="F314" t="s">
        <v>30</v>
      </c>
      <c r="G314">
        <v>6</v>
      </c>
      <c r="H314">
        <v>142</v>
      </c>
      <c r="J314">
        <v>852</v>
      </c>
      <c r="K314">
        <v>236.26390384851231</v>
      </c>
      <c r="L314" t="s">
        <v>32</v>
      </c>
      <c r="M314" t="s">
        <v>34</v>
      </c>
    </row>
    <row r="315" spans="1:13" x14ac:dyDescent="0.25">
      <c r="A315">
        <v>1339</v>
      </c>
      <c r="B315" s="2">
        <v>44636</v>
      </c>
      <c r="C315" t="s">
        <v>16</v>
      </c>
      <c r="D315" t="s">
        <v>21</v>
      </c>
      <c r="E315" t="s">
        <v>26</v>
      </c>
      <c r="F315" t="s">
        <v>27</v>
      </c>
      <c r="G315">
        <v>9</v>
      </c>
      <c r="H315">
        <v>77</v>
      </c>
      <c r="J315">
        <v>693</v>
      </c>
      <c r="K315">
        <v>207.61370634882849</v>
      </c>
      <c r="L315" t="s">
        <v>33</v>
      </c>
      <c r="M315" t="s">
        <v>35</v>
      </c>
    </row>
    <row r="316" spans="1:13" x14ac:dyDescent="0.25">
      <c r="A316">
        <v>1379</v>
      </c>
      <c r="B316" s="2">
        <v>44688</v>
      </c>
      <c r="C316" t="s">
        <v>15</v>
      </c>
      <c r="D316" t="s">
        <v>22</v>
      </c>
      <c r="E316" t="s">
        <v>24</v>
      </c>
      <c r="F316" t="s">
        <v>31</v>
      </c>
      <c r="G316">
        <v>7</v>
      </c>
      <c r="H316">
        <v>463</v>
      </c>
      <c r="I316">
        <v>0</v>
      </c>
      <c r="J316">
        <v>3241</v>
      </c>
      <c r="K316">
        <v>526.45170734555006</v>
      </c>
      <c r="L316" t="s">
        <v>32</v>
      </c>
      <c r="M316" t="s">
        <v>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4EAD1-AB56-42B0-8AAF-BF666AA0BB56}">
  <dimension ref="A1:M316"/>
  <sheetViews>
    <sheetView tabSelected="1" workbookViewId="0">
      <selection activeCell="E20" sqref="E20"/>
    </sheetView>
  </sheetViews>
  <sheetFormatPr defaultRowHeight="15" x14ac:dyDescent="0.25"/>
  <cols>
    <col min="1" max="1" width="11.28515625" bestFit="1" customWidth="1"/>
    <col min="2" max="2" width="13.5703125" bestFit="1" customWidth="1"/>
    <col min="3" max="3" width="18.28515625" bestFit="1" customWidth="1"/>
    <col min="4" max="4" width="9.42578125" bestFit="1" customWidth="1"/>
    <col min="5" max="5" width="19.140625" bestFit="1" customWidth="1"/>
    <col min="6" max="6" width="15.5703125" bestFit="1" customWidth="1"/>
    <col min="7" max="7" width="11" bestFit="1" customWidth="1"/>
    <col min="8" max="8" width="13.7109375" style="9" bestFit="1" customWidth="1"/>
    <col min="9" max="9" width="11" style="12" bestFit="1" customWidth="1"/>
    <col min="10" max="11" width="10.28515625" style="9" bestFit="1" customWidth="1"/>
    <col min="12" max="12" width="15.7109375" style="12" bestFit="1" customWidth="1"/>
    <col min="13" max="13" width="11.5703125" customWidth="1"/>
  </cols>
  <sheetData>
    <row r="1" spans="1:13" x14ac:dyDescent="0.25">
      <c r="A1" t="s">
        <v>37</v>
      </c>
      <c r="B1" t="s">
        <v>38</v>
      </c>
      <c r="C1" t="s">
        <v>39</v>
      </c>
      <c r="D1" t="s">
        <v>3</v>
      </c>
      <c r="E1" t="s">
        <v>40</v>
      </c>
      <c r="F1" t="s">
        <v>41</v>
      </c>
      <c r="G1" t="s">
        <v>6</v>
      </c>
      <c r="H1" s="9" t="s">
        <v>42</v>
      </c>
      <c r="I1" s="12" t="s">
        <v>8</v>
      </c>
      <c r="J1" s="9" t="s">
        <v>9</v>
      </c>
      <c r="K1" s="9" t="s">
        <v>10</v>
      </c>
      <c r="L1" s="12" t="s">
        <v>65</v>
      </c>
      <c r="M1" t="s">
        <v>11</v>
      </c>
    </row>
    <row r="2" spans="1:13" x14ac:dyDescent="0.25">
      <c r="A2">
        <v>1771</v>
      </c>
      <c r="B2" s="3">
        <v>44656</v>
      </c>
      <c r="C2" t="s">
        <v>13</v>
      </c>
      <c r="D2" t="s">
        <v>20</v>
      </c>
      <c r="E2" t="s">
        <v>24</v>
      </c>
      <c r="F2" t="s">
        <v>27</v>
      </c>
      <c r="G2">
        <v>9</v>
      </c>
      <c r="H2" s="9">
        <v>112</v>
      </c>
      <c r="I2" s="12">
        <v>0.2</v>
      </c>
      <c r="J2" s="9">
        <v>806.4</v>
      </c>
      <c r="K2" s="9">
        <v>100.5431</v>
      </c>
      <c r="L2" s="12">
        <v>0.12468142361111099</v>
      </c>
      <c r="M2" t="s">
        <v>32</v>
      </c>
    </row>
    <row r="3" spans="1:13" x14ac:dyDescent="0.25">
      <c r="A3">
        <v>1871</v>
      </c>
      <c r="B3" s="3">
        <v>44730</v>
      </c>
      <c r="C3" t="s">
        <v>14</v>
      </c>
      <c r="D3" t="s">
        <v>21</v>
      </c>
      <c r="E3" t="s">
        <v>25</v>
      </c>
      <c r="F3" t="s">
        <v>28</v>
      </c>
      <c r="G3">
        <v>8</v>
      </c>
      <c r="H3" s="9">
        <v>111</v>
      </c>
      <c r="I3" s="12">
        <v>0.2</v>
      </c>
      <c r="J3" s="9">
        <v>710.4</v>
      </c>
      <c r="K3" s="9">
        <v>132.05240000000001</v>
      </c>
      <c r="L3" s="12">
        <v>0.18588457207207201</v>
      </c>
      <c r="M3" t="s">
        <v>32</v>
      </c>
    </row>
    <row r="4" spans="1:13" x14ac:dyDescent="0.25">
      <c r="A4">
        <v>1091</v>
      </c>
      <c r="B4" s="3">
        <v>44637</v>
      </c>
      <c r="C4" t="s">
        <v>15</v>
      </c>
      <c r="D4" t="s">
        <v>22</v>
      </c>
      <c r="E4" t="s">
        <v>26</v>
      </c>
      <c r="F4" t="s">
        <v>28</v>
      </c>
      <c r="G4">
        <v>9</v>
      </c>
      <c r="H4" s="9">
        <v>399</v>
      </c>
      <c r="I4" s="12">
        <v>0</v>
      </c>
      <c r="J4" s="9">
        <v>3591</v>
      </c>
      <c r="K4" s="9">
        <v>1017.2525000000001</v>
      </c>
      <c r="L4" s="12">
        <v>0.28327833472570302</v>
      </c>
      <c r="M4" t="s">
        <v>32</v>
      </c>
    </row>
    <row r="5" spans="1:13" x14ac:dyDescent="0.25">
      <c r="A5">
        <v>1627</v>
      </c>
      <c r="B5" s="3">
        <v>44805</v>
      </c>
      <c r="C5" t="s">
        <v>14</v>
      </c>
      <c r="D5" t="s">
        <v>21</v>
      </c>
      <c r="E5" t="s">
        <v>24</v>
      </c>
      <c r="F5" t="s">
        <v>27</v>
      </c>
      <c r="G5">
        <v>2</v>
      </c>
      <c r="H5" s="9">
        <v>106</v>
      </c>
      <c r="I5" s="12">
        <v>0</v>
      </c>
      <c r="J5" s="9">
        <v>212</v>
      </c>
      <c r="K5" s="9">
        <v>32.741300000000003</v>
      </c>
      <c r="L5" s="12">
        <v>0.154440094339623</v>
      </c>
      <c r="M5" t="s">
        <v>32</v>
      </c>
    </row>
    <row r="6" spans="1:13" x14ac:dyDescent="0.25">
      <c r="A6">
        <v>1458</v>
      </c>
      <c r="B6" s="3">
        <v>44575</v>
      </c>
      <c r="C6" t="s">
        <v>14</v>
      </c>
      <c r="D6" t="s">
        <v>22</v>
      </c>
      <c r="E6" t="s">
        <v>25</v>
      </c>
      <c r="F6" t="s">
        <v>27</v>
      </c>
      <c r="G6">
        <v>4</v>
      </c>
      <c r="H6" s="9">
        <v>223</v>
      </c>
      <c r="I6" s="12">
        <v>0.1</v>
      </c>
      <c r="J6" s="9">
        <v>802.8</v>
      </c>
      <c r="K6" s="9">
        <v>81.09</v>
      </c>
      <c r="L6" s="12">
        <v>0.101008968609865</v>
      </c>
      <c r="M6" t="s">
        <v>32</v>
      </c>
    </row>
    <row r="7" spans="1:13" x14ac:dyDescent="0.25">
      <c r="A7">
        <v>1224</v>
      </c>
      <c r="B7" s="3">
        <v>44816</v>
      </c>
      <c r="C7" t="s">
        <v>15</v>
      </c>
      <c r="D7" t="s">
        <v>22</v>
      </c>
      <c r="E7" t="s">
        <v>26</v>
      </c>
      <c r="F7" t="s">
        <v>29</v>
      </c>
      <c r="G7">
        <v>2</v>
      </c>
      <c r="H7" s="9">
        <v>192</v>
      </c>
      <c r="I7" s="12">
        <v>0.3</v>
      </c>
      <c r="J7" s="9">
        <v>268.8</v>
      </c>
      <c r="K7" s="9">
        <v>61.7806</v>
      </c>
      <c r="L7" s="12">
        <v>0.22983854166666701</v>
      </c>
      <c r="M7" t="s">
        <v>32</v>
      </c>
    </row>
    <row r="8" spans="1:13" x14ac:dyDescent="0.25">
      <c r="A8">
        <v>1427</v>
      </c>
      <c r="B8" s="3">
        <v>44641</v>
      </c>
      <c r="C8" t="s">
        <v>14</v>
      </c>
      <c r="D8" t="s">
        <v>21</v>
      </c>
      <c r="E8" t="s">
        <v>26</v>
      </c>
      <c r="F8" t="s">
        <v>30</v>
      </c>
      <c r="G8">
        <v>9</v>
      </c>
      <c r="H8" s="9">
        <v>464</v>
      </c>
      <c r="I8" s="12">
        <v>0.3</v>
      </c>
      <c r="J8" s="9">
        <v>2923.2</v>
      </c>
      <c r="K8" s="9">
        <v>720.31420000000003</v>
      </c>
      <c r="L8" s="12">
        <v>0.24641290366721399</v>
      </c>
      <c r="M8" t="s">
        <v>32</v>
      </c>
    </row>
    <row r="9" spans="1:13" x14ac:dyDescent="0.25">
      <c r="A9">
        <v>1510</v>
      </c>
      <c r="B9" s="3">
        <v>44603</v>
      </c>
      <c r="C9" t="s">
        <v>13</v>
      </c>
      <c r="D9" t="s">
        <v>22</v>
      </c>
      <c r="E9" t="s">
        <v>24</v>
      </c>
      <c r="F9" t="s">
        <v>28</v>
      </c>
      <c r="G9">
        <v>2</v>
      </c>
      <c r="H9" s="9">
        <v>290</v>
      </c>
      <c r="I9" s="12">
        <v>0</v>
      </c>
      <c r="J9" s="9">
        <v>580</v>
      </c>
      <c r="K9" s="9">
        <v>29.4666</v>
      </c>
      <c r="L9" s="12">
        <v>5.0804482758620699E-2</v>
      </c>
      <c r="M9" t="s">
        <v>33</v>
      </c>
    </row>
    <row r="10" spans="1:13" x14ac:dyDescent="0.25">
      <c r="A10">
        <v>1815</v>
      </c>
      <c r="B10" s="3">
        <v>44669</v>
      </c>
      <c r="C10" t="s">
        <v>16</v>
      </c>
      <c r="D10" t="s">
        <v>21</v>
      </c>
      <c r="E10" t="s">
        <v>25</v>
      </c>
      <c r="F10" t="s">
        <v>27</v>
      </c>
      <c r="G10">
        <v>9</v>
      </c>
      <c r="H10" s="9">
        <v>43</v>
      </c>
      <c r="I10" s="12">
        <v>0</v>
      </c>
      <c r="J10" s="9">
        <v>387</v>
      </c>
      <c r="K10" s="9">
        <v>67.382599999999996</v>
      </c>
      <c r="L10" s="12">
        <v>0.174115245478036</v>
      </c>
      <c r="M10" t="s">
        <v>32</v>
      </c>
    </row>
    <row r="11" spans="1:13" x14ac:dyDescent="0.25">
      <c r="A11">
        <v>1776</v>
      </c>
      <c r="B11" s="3">
        <v>44632</v>
      </c>
      <c r="C11" t="s">
        <v>13</v>
      </c>
      <c r="D11" t="s">
        <v>23</v>
      </c>
      <c r="E11" t="s">
        <v>25</v>
      </c>
      <c r="F11" t="s">
        <v>29</v>
      </c>
      <c r="G11">
        <v>2</v>
      </c>
      <c r="H11" s="9">
        <v>460</v>
      </c>
      <c r="I11" s="12">
        <v>0.2</v>
      </c>
      <c r="J11" s="9">
        <v>736</v>
      </c>
      <c r="K11" s="9">
        <v>53.102499999999999</v>
      </c>
      <c r="L11" s="12">
        <v>7.2150135869565202E-2</v>
      </c>
      <c r="M11" t="s">
        <v>33</v>
      </c>
    </row>
    <row r="12" spans="1:13" x14ac:dyDescent="0.25">
      <c r="A12">
        <v>1313</v>
      </c>
      <c r="B12" s="3">
        <v>44595</v>
      </c>
      <c r="C12" t="s">
        <v>17</v>
      </c>
      <c r="D12" t="s">
        <v>21</v>
      </c>
      <c r="E12" t="s">
        <v>24</v>
      </c>
      <c r="F12" t="s">
        <v>30</v>
      </c>
      <c r="G12">
        <v>6</v>
      </c>
      <c r="H12" s="9">
        <v>449</v>
      </c>
      <c r="I12" s="12">
        <v>0</v>
      </c>
      <c r="J12" s="9">
        <v>2694</v>
      </c>
      <c r="K12" s="9">
        <v>382.75650000000002</v>
      </c>
      <c r="L12" s="12">
        <v>0.142077394209354</v>
      </c>
      <c r="M12" t="s">
        <v>32</v>
      </c>
    </row>
    <row r="13" spans="1:13" x14ac:dyDescent="0.25">
      <c r="A13">
        <v>1474</v>
      </c>
      <c r="B13" s="3">
        <v>44601</v>
      </c>
      <c r="C13" t="s">
        <v>15</v>
      </c>
      <c r="D13" t="s">
        <v>23</v>
      </c>
      <c r="E13" t="s">
        <v>25</v>
      </c>
      <c r="F13" t="s">
        <v>30</v>
      </c>
      <c r="G13">
        <v>1</v>
      </c>
      <c r="H13" s="9">
        <v>416</v>
      </c>
      <c r="I13" s="12">
        <v>0</v>
      </c>
      <c r="J13" s="9">
        <v>416</v>
      </c>
      <c r="K13" s="9">
        <v>63.712699999999998</v>
      </c>
      <c r="L13" s="12">
        <v>0.15315552884615399</v>
      </c>
      <c r="M13" t="s">
        <v>32</v>
      </c>
    </row>
    <row r="14" spans="1:13" x14ac:dyDescent="0.25">
      <c r="A14">
        <v>1130</v>
      </c>
      <c r="B14" s="3">
        <v>44619</v>
      </c>
      <c r="C14" t="s">
        <v>18</v>
      </c>
      <c r="D14" t="s">
        <v>22</v>
      </c>
      <c r="E14" t="s">
        <v>24</v>
      </c>
      <c r="F14" t="s">
        <v>27</v>
      </c>
      <c r="G14">
        <v>7</v>
      </c>
      <c r="H14" s="9">
        <v>401</v>
      </c>
      <c r="I14" s="12">
        <v>0.1</v>
      </c>
      <c r="J14" s="9">
        <v>2526.3000000000002</v>
      </c>
      <c r="K14" s="9">
        <v>647.39559999999994</v>
      </c>
      <c r="L14" s="12">
        <v>0.256262359973083</v>
      </c>
      <c r="M14" t="s">
        <v>32</v>
      </c>
    </row>
    <row r="15" spans="1:13" x14ac:dyDescent="0.25">
      <c r="A15">
        <v>1929</v>
      </c>
      <c r="B15" s="3">
        <v>44720</v>
      </c>
      <c r="C15" t="s">
        <v>17</v>
      </c>
      <c r="D15" t="s">
        <v>20</v>
      </c>
      <c r="E15" t="s">
        <v>25</v>
      </c>
      <c r="F15" t="s">
        <v>31</v>
      </c>
      <c r="G15">
        <v>9</v>
      </c>
      <c r="H15" s="9">
        <v>60</v>
      </c>
      <c r="I15" s="12">
        <v>0.2</v>
      </c>
      <c r="J15" s="9">
        <v>432</v>
      </c>
      <c r="K15" s="9">
        <v>45.934199999999997</v>
      </c>
      <c r="L15" s="12">
        <v>0.106329166666667</v>
      </c>
      <c r="M15" t="s">
        <v>32</v>
      </c>
    </row>
    <row r="16" spans="1:13" x14ac:dyDescent="0.25">
      <c r="A16">
        <v>1021</v>
      </c>
      <c r="B16" s="3">
        <v>44596</v>
      </c>
      <c r="C16" t="s">
        <v>13</v>
      </c>
      <c r="D16" t="s">
        <v>23</v>
      </c>
      <c r="E16" t="s">
        <v>24</v>
      </c>
      <c r="F16" t="s">
        <v>29</v>
      </c>
      <c r="G16">
        <v>8</v>
      </c>
      <c r="H16" s="9">
        <v>245</v>
      </c>
      <c r="I16" s="12">
        <v>0.3</v>
      </c>
      <c r="J16" s="9">
        <v>1372</v>
      </c>
      <c r="K16" s="9">
        <v>222.4734</v>
      </c>
      <c r="L16" s="12">
        <v>0.16215262390670601</v>
      </c>
      <c r="M16" t="s">
        <v>32</v>
      </c>
    </row>
    <row r="17" spans="1:13" x14ac:dyDescent="0.25">
      <c r="A17">
        <v>1206</v>
      </c>
      <c r="B17" s="3">
        <v>44749</v>
      </c>
      <c r="C17" t="s">
        <v>17</v>
      </c>
      <c r="D17" t="s">
        <v>22</v>
      </c>
      <c r="E17" t="s">
        <v>24</v>
      </c>
      <c r="F17" t="s">
        <v>31</v>
      </c>
      <c r="G17">
        <v>2</v>
      </c>
      <c r="H17" s="9">
        <v>122</v>
      </c>
      <c r="I17" s="12">
        <v>0.1</v>
      </c>
      <c r="J17" s="9">
        <v>219.6</v>
      </c>
      <c r="K17" s="9">
        <v>25.1783</v>
      </c>
      <c r="L17" s="12">
        <v>0.114655282331512</v>
      </c>
      <c r="M17" t="s">
        <v>32</v>
      </c>
    </row>
    <row r="18" spans="1:13" x14ac:dyDescent="0.25">
      <c r="A18">
        <v>1410</v>
      </c>
      <c r="B18" s="3">
        <v>44812</v>
      </c>
      <c r="C18" t="s">
        <v>13</v>
      </c>
      <c r="D18" t="s">
        <v>23</v>
      </c>
      <c r="E18" t="s">
        <v>24</v>
      </c>
      <c r="F18" t="s">
        <v>31</v>
      </c>
      <c r="G18">
        <v>3</v>
      </c>
      <c r="H18" s="9">
        <v>166</v>
      </c>
      <c r="I18" s="12">
        <v>0</v>
      </c>
      <c r="J18" s="9">
        <v>498</v>
      </c>
      <c r="K18" s="9">
        <v>45.098100000000002</v>
      </c>
      <c r="L18" s="12">
        <v>9.0558433734939797E-2</v>
      </c>
      <c r="M18" t="s">
        <v>32</v>
      </c>
    </row>
    <row r="19" spans="1:13" x14ac:dyDescent="0.25">
      <c r="A19">
        <v>1565</v>
      </c>
      <c r="B19" s="3">
        <v>44654</v>
      </c>
      <c r="C19" t="s">
        <v>19</v>
      </c>
      <c r="D19" t="s">
        <v>20</v>
      </c>
      <c r="E19" t="s">
        <v>25</v>
      </c>
      <c r="F19" t="s">
        <v>31</v>
      </c>
      <c r="G19">
        <v>1</v>
      </c>
      <c r="H19" s="9">
        <v>492</v>
      </c>
      <c r="I19" s="12">
        <v>0</v>
      </c>
      <c r="J19" s="9">
        <v>492</v>
      </c>
      <c r="K19" s="9">
        <v>58.1877</v>
      </c>
      <c r="L19" s="12">
        <v>0.118267682926829</v>
      </c>
      <c r="M19" t="s">
        <v>32</v>
      </c>
    </row>
    <row r="20" spans="1:13" x14ac:dyDescent="0.25">
      <c r="A20">
        <v>1942</v>
      </c>
      <c r="B20" s="3">
        <v>44737</v>
      </c>
      <c r="C20" t="s">
        <v>16</v>
      </c>
      <c r="D20" t="s">
        <v>21</v>
      </c>
      <c r="E20" t="s">
        <v>25</v>
      </c>
      <c r="F20" t="s">
        <v>27</v>
      </c>
      <c r="G20">
        <v>5</v>
      </c>
      <c r="H20" s="9">
        <v>372</v>
      </c>
      <c r="I20" s="12">
        <v>0.3</v>
      </c>
      <c r="J20" s="9">
        <v>1302</v>
      </c>
      <c r="K20" s="9">
        <v>282.86680000000001</v>
      </c>
      <c r="L20" s="12">
        <v>0.21725560675883299</v>
      </c>
      <c r="M20" t="s">
        <v>32</v>
      </c>
    </row>
    <row r="21" spans="1:13" x14ac:dyDescent="0.25">
      <c r="A21">
        <v>1121</v>
      </c>
      <c r="B21" s="3">
        <v>44571</v>
      </c>
      <c r="C21" t="s">
        <v>19</v>
      </c>
      <c r="D21" t="s">
        <v>20</v>
      </c>
      <c r="E21" t="s">
        <v>24</v>
      </c>
      <c r="F21" t="s">
        <v>31</v>
      </c>
      <c r="G21">
        <v>7</v>
      </c>
      <c r="H21" s="9">
        <v>289</v>
      </c>
      <c r="I21" s="12">
        <v>0.3</v>
      </c>
      <c r="J21" s="9">
        <v>1416.1</v>
      </c>
      <c r="K21" s="9">
        <v>421.93049999999999</v>
      </c>
      <c r="L21" s="12">
        <v>0.29795247510769002</v>
      </c>
      <c r="M21" t="s">
        <v>32</v>
      </c>
    </row>
    <row r="22" spans="1:13" x14ac:dyDescent="0.25">
      <c r="A22">
        <v>1763</v>
      </c>
      <c r="B22" s="3">
        <v>44686</v>
      </c>
      <c r="C22" t="s">
        <v>13</v>
      </c>
      <c r="D22" t="s">
        <v>23</v>
      </c>
      <c r="E22" t="s">
        <v>24</v>
      </c>
      <c r="F22" t="s">
        <v>30</v>
      </c>
      <c r="G22">
        <v>2</v>
      </c>
      <c r="H22" s="9">
        <v>185</v>
      </c>
      <c r="I22" s="12">
        <v>0</v>
      </c>
      <c r="J22" s="9">
        <v>370</v>
      </c>
      <c r="K22" s="9">
        <v>43.655299999999997</v>
      </c>
      <c r="L22" s="12">
        <v>0.117987297297297</v>
      </c>
      <c r="M22" t="s">
        <v>32</v>
      </c>
    </row>
    <row r="23" spans="1:13" x14ac:dyDescent="0.25">
      <c r="A23">
        <v>1614</v>
      </c>
      <c r="B23" s="3">
        <v>44570</v>
      </c>
      <c r="C23" t="s">
        <v>14</v>
      </c>
      <c r="D23" t="s">
        <v>23</v>
      </c>
      <c r="E23" t="s">
        <v>24</v>
      </c>
      <c r="F23" t="s">
        <v>30</v>
      </c>
      <c r="G23">
        <v>9</v>
      </c>
      <c r="H23" s="9">
        <v>325</v>
      </c>
      <c r="I23" s="12">
        <v>0.1</v>
      </c>
      <c r="J23" s="9">
        <v>2632.5</v>
      </c>
      <c r="K23" s="9">
        <v>609.72760000000005</v>
      </c>
      <c r="L23" s="12">
        <v>0.23161542260208901</v>
      </c>
      <c r="M23" t="s">
        <v>32</v>
      </c>
    </row>
    <row r="24" spans="1:13" x14ac:dyDescent="0.25">
      <c r="A24">
        <v>1921</v>
      </c>
      <c r="B24" s="3">
        <v>44684</v>
      </c>
      <c r="C24" t="s">
        <v>14</v>
      </c>
      <c r="D24" t="s">
        <v>23</v>
      </c>
      <c r="E24" t="s">
        <v>24</v>
      </c>
      <c r="F24" t="s">
        <v>27</v>
      </c>
      <c r="G24">
        <v>2</v>
      </c>
      <c r="H24" s="9">
        <v>247</v>
      </c>
      <c r="I24" s="12">
        <v>0</v>
      </c>
      <c r="J24" s="9">
        <v>494</v>
      </c>
      <c r="K24" s="9">
        <v>136.6224</v>
      </c>
      <c r="L24" s="12">
        <v>0.27656356275303601</v>
      </c>
      <c r="M24" t="s">
        <v>32</v>
      </c>
    </row>
    <row r="25" spans="1:13" x14ac:dyDescent="0.25">
      <c r="A25">
        <v>1563</v>
      </c>
      <c r="B25" s="3">
        <v>44833</v>
      </c>
      <c r="C25" t="s">
        <v>18</v>
      </c>
      <c r="D25" t="s">
        <v>23</v>
      </c>
      <c r="E25" t="s">
        <v>24</v>
      </c>
      <c r="F25" t="s">
        <v>29</v>
      </c>
      <c r="G25">
        <v>7</v>
      </c>
      <c r="H25" s="9">
        <v>380</v>
      </c>
      <c r="I25" s="12">
        <v>0</v>
      </c>
      <c r="J25" s="9">
        <v>2660</v>
      </c>
      <c r="K25" s="9">
        <v>248.5515</v>
      </c>
      <c r="L25" s="12">
        <v>9.3440413533834601E-2</v>
      </c>
      <c r="M25" t="s">
        <v>32</v>
      </c>
    </row>
    <row r="26" spans="1:13" x14ac:dyDescent="0.25">
      <c r="A26">
        <v>1733</v>
      </c>
      <c r="B26" s="3">
        <v>44763</v>
      </c>
      <c r="C26" t="s">
        <v>14</v>
      </c>
      <c r="D26" t="s">
        <v>21</v>
      </c>
      <c r="E26" t="s">
        <v>25</v>
      </c>
      <c r="F26" t="s">
        <v>29</v>
      </c>
      <c r="G26">
        <v>3</v>
      </c>
      <c r="H26" s="9">
        <v>336</v>
      </c>
      <c r="I26" s="12">
        <v>0</v>
      </c>
      <c r="J26" s="9">
        <v>1008</v>
      </c>
      <c r="K26" s="9">
        <v>66.831599999999995</v>
      </c>
      <c r="L26" s="12">
        <v>6.63011904761905E-2</v>
      </c>
      <c r="M26" t="s">
        <v>32</v>
      </c>
    </row>
    <row r="27" spans="1:13" x14ac:dyDescent="0.25">
      <c r="A27">
        <v>1701</v>
      </c>
      <c r="B27" s="3">
        <v>44675</v>
      </c>
      <c r="C27" t="s">
        <v>14</v>
      </c>
      <c r="D27" t="s">
        <v>23</v>
      </c>
      <c r="E27" t="s">
        <v>25</v>
      </c>
      <c r="F27" t="s">
        <v>28</v>
      </c>
      <c r="G27">
        <v>7</v>
      </c>
      <c r="H27" s="9">
        <v>34</v>
      </c>
      <c r="I27" s="12">
        <v>0.3</v>
      </c>
      <c r="J27" s="9">
        <v>166.6</v>
      </c>
      <c r="K27" s="9">
        <v>13.967499999999999</v>
      </c>
      <c r="L27" s="12">
        <v>8.3838535414165694E-2</v>
      </c>
      <c r="M27" t="s">
        <v>32</v>
      </c>
    </row>
    <row r="28" spans="1:13" x14ac:dyDescent="0.25">
      <c r="A28">
        <v>1891</v>
      </c>
      <c r="B28" s="3">
        <v>44753</v>
      </c>
      <c r="C28" t="s">
        <v>15</v>
      </c>
      <c r="D28" t="s">
        <v>23</v>
      </c>
      <c r="E28" t="s">
        <v>24</v>
      </c>
      <c r="F28" t="s">
        <v>31</v>
      </c>
      <c r="G28">
        <v>4</v>
      </c>
      <c r="H28" s="9">
        <v>109</v>
      </c>
      <c r="I28" s="12">
        <v>0.1</v>
      </c>
      <c r="J28" s="9">
        <v>392.4</v>
      </c>
      <c r="K28" s="9">
        <v>70.571799999999996</v>
      </c>
      <c r="L28" s="12">
        <v>0.17984658511722701</v>
      </c>
      <c r="M28" t="s">
        <v>32</v>
      </c>
    </row>
    <row r="29" spans="1:13" x14ac:dyDescent="0.25">
      <c r="A29">
        <v>1130</v>
      </c>
      <c r="B29" s="3">
        <v>44581</v>
      </c>
      <c r="C29" t="s">
        <v>16</v>
      </c>
      <c r="D29" t="s">
        <v>22</v>
      </c>
      <c r="E29" t="s">
        <v>26</v>
      </c>
      <c r="F29" t="s">
        <v>28</v>
      </c>
      <c r="G29">
        <v>5</v>
      </c>
      <c r="H29" s="9">
        <v>479</v>
      </c>
      <c r="I29" s="12">
        <v>0.2</v>
      </c>
      <c r="J29" s="9">
        <v>1916</v>
      </c>
      <c r="K29" s="9">
        <v>471.23630000000003</v>
      </c>
      <c r="L29" s="12">
        <v>0.24594796450939499</v>
      </c>
      <c r="M29" t="s">
        <v>32</v>
      </c>
    </row>
    <row r="30" spans="1:13" x14ac:dyDescent="0.25">
      <c r="A30">
        <v>1455</v>
      </c>
      <c r="B30" s="3">
        <v>44811</v>
      </c>
      <c r="C30" t="s">
        <v>18</v>
      </c>
      <c r="D30" t="s">
        <v>23</v>
      </c>
      <c r="E30" t="s">
        <v>24</v>
      </c>
      <c r="F30" t="s">
        <v>28</v>
      </c>
      <c r="G30">
        <v>8</v>
      </c>
      <c r="H30" s="9">
        <v>141</v>
      </c>
      <c r="I30" s="12">
        <v>0.1</v>
      </c>
      <c r="J30" s="9">
        <v>1015.2</v>
      </c>
      <c r="K30" s="9">
        <v>159.2569</v>
      </c>
      <c r="L30" s="12">
        <v>0.15687243892829</v>
      </c>
      <c r="M30" t="s">
        <v>32</v>
      </c>
    </row>
    <row r="31" spans="1:13" x14ac:dyDescent="0.25">
      <c r="A31">
        <v>1563</v>
      </c>
      <c r="B31" s="3">
        <v>44760</v>
      </c>
      <c r="C31" t="s">
        <v>19</v>
      </c>
      <c r="D31" t="s">
        <v>20</v>
      </c>
      <c r="E31" t="s">
        <v>25</v>
      </c>
      <c r="F31" t="s">
        <v>29</v>
      </c>
      <c r="G31">
        <v>9</v>
      </c>
      <c r="H31" s="9">
        <v>324</v>
      </c>
      <c r="I31" s="12">
        <v>0</v>
      </c>
      <c r="J31" s="9">
        <v>2916</v>
      </c>
      <c r="K31" s="9">
        <v>863.85749999999996</v>
      </c>
      <c r="L31" s="12">
        <v>0.29624742798353898</v>
      </c>
      <c r="M31" t="s">
        <v>32</v>
      </c>
    </row>
    <row r="32" spans="1:13" x14ac:dyDescent="0.25">
      <c r="A32">
        <v>1683</v>
      </c>
      <c r="B32" s="3">
        <v>44729</v>
      </c>
      <c r="C32" t="s">
        <v>16</v>
      </c>
      <c r="D32" t="s">
        <v>22</v>
      </c>
      <c r="E32" t="s">
        <v>25</v>
      </c>
      <c r="F32" t="s">
        <v>28</v>
      </c>
      <c r="G32">
        <v>3</v>
      </c>
      <c r="H32" s="9">
        <v>105</v>
      </c>
      <c r="I32" s="12">
        <v>0</v>
      </c>
      <c r="J32" s="9">
        <v>315</v>
      </c>
      <c r="K32" s="9">
        <v>71.492000000000004</v>
      </c>
      <c r="L32" s="12">
        <v>0.22695873015873</v>
      </c>
      <c r="M32" t="s">
        <v>32</v>
      </c>
    </row>
    <row r="33" spans="1:13" x14ac:dyDescent="0.25">
      <c r="A33">
        <v>1681</v>
      </c>
      <c r="B33" s="3">
        <v>44780</v>
      </c>
      <c r="C33" t="s">
        <v>19</v>
      </c>
      <c r="D33" t="s">
        <v>20</v>
      </c>
      <c r="E33" t="s">
        <v>25</v>
      </c>
      <c r="F33" t="s">
        <v>31</v>
      </c>
      <c r="G33">
        <v>3</v>
      </c>
      <c r="H33" s="9">
        <v>337</v>
      </c>
      <c r="I33" s="12">
        <v>0</v>
      </c>
      <c r="J33" s="9">
        <v>1011</v>
      </c>
      <c r="K33" s="9">
        <v>252.22280000000001</v>
      </c>
      <c r="L33" s="12">
        <v>0.24947853610286799</v>
      </c>
      <c r="M33" t="s">
        <v>33</v>
      </c>
    </row>
    <row r="34" spans="1:13" x14ac:dyDescent="0.25">
      <c r="A34">
        <v>1102</v>
      </c>
      <c r="B34" s="3">
        <v>44562</v>
      </c>
      <c r="C34" t="s">
        <v>14</v>
      </c>
      <c r="D34" t="s">
        <v>22</v>
      </c>
      <c r="E34" t="s">
        <v>25</v>
      </c>
      <c r="F34" t="s">
        <v>30</v>
      </c>
      <c r="G34">
        <v>7</v>
      </c>
      <c r="H34" s="9">
        <v>420</v>
      </c>
      <c r="I34" s="12">
        <v>0.3</v>
      </c>
      <c r="J34" s="9">
        <v>2058</v>
      </c>
      <c r="K34" s="9">
        <v>457.33150000000001</v>
      </c>
      <c r="L34" s="12">
        <v>0.22222133138969899</v>
      </c>
      <c r="M34" t="s">
        <v>32</v>
      </c>
    </row>
    <row r="35" spans="1:13" x14ac:dyDescent="0.25">
      <c r="A35">
        <v>1386</v>
      </c>
      <c r="B35" s="3">
        <v>44838</v>
      </c>
      <c r="C35" t="s">
        <v>14</v>
      </c>
      <c r="D35" t="s">
        <v>22</v>
      </c>
      <c r="E35" t="s">
        <v>24</v>
      </c>
      <c r="F35" t="s">
        <v>30</v>
      </c>
      <c r="G35">
        <v>2</v>
      </c>
      <c r="H35" s="9">
        <v>262</v>
      </c>
      <c r="I35" s="12">
        <v>0.1</v>
      </c>
      <c r="J35" s="9">
        <v>471.6</v>
      </c>
      <c r="K35" s="9">
        <v>40.3185</v>
      </c>
      <c r="L35" s="12">
        <v>8.5493002544529198E-2</v>
      </c>
      <c r="M35" t="s">
        <v>32</v>
      </c>
    </row>
    <row r="36" spans="1:13" x14ac:dyDescent="0.25">
      <c r="A36">
        <v>1112</v>
      </c>
      <c r="B36" s="3">
        <v>44829</v>
      </c>
      <c r="C36" t="s">
        <v>15</v>
      </c>
      <c r="D36" t="s">
        <v>20</v>
      </c>
      <c r="E36" t="s">
        <v>24</v>
      </c>
      <c r="F36" t="s">
        <v>30</v>
      </c>
      <c r="G36">
        <v>7</v>
      </c>
      <c r="H36" s="9">
        <v>169</v>
      </c>
      <c r="I36" s="12">
        <v>0.1</v>
      </c>
      <c r="J36" s="9">
        <v>1064.7</v>
      </c>
      <c r="K36" s="9">
        <v>148.47200000000001</v>
      </c>
      <c r="L36" s="12">
        <v>0.139449610218841</v>
      </c>
      <c r="M36" t="s">
        <v>32</v>
      </c>
    </row>
    <row r="37" spans="1:13" x14ac:dyDescent="0.25">
      <c r="A37">
        <v>1955</v>
      </c>
      <c r="B37" s="3">
        <v>44591</v>
      </c>
      <c r="C37" t="s">
        <v>16</v>
      </c>
      <c r="D37" t="s">
        <v>20</v>
      </c>
      <c r="E37" t="s">
        <v>26</v>
      </c>
      <c r="F37" t="s">
        <v>31</v>
      </c>
      <c r="G37">
        <v>5</v>
      </c>
      <c r="H37" s="9">
        <v>478</v>
      </c>
      <c r="I37" s="12">
        <v>0.1</v>
      </c>
      <c r="J37" s="9">
        <v>2151</v>
      </c>
      <c r="K37" s="9">
        <v>187.61449999999999</v>
      </c>
      <c r="L37" s="12">
        <v>8.7221989772198999E-2</v>
      </c>
      <c r="M37" t="s">
        <v>32</v>
      </c>
    </row>
    <row r="38" spans="1:13" x14ac:dyDescent="0.25">
      <c r="A38">
        <v>1560</v>
      </c>
      <c r="B38" s="3">
        <v>44600</v>
      </c>
      <c r="C38" t="s">
        <v>18</v>
      </c>
      <c r="D38" t="s">
        <v>23</v>
      </c>
      <c r="E38" t="s">
        <v>26</v>
      </c>
      <c r="F38" t="s">
        <v>29</v>
      </c>
      <c r="G38">
        <v>7</v>
      </c>
      <c r="H38" s="9">
        <v>118</v>
      </c>
      <c r="I38" s="12">
        <v>0.1</v>
      </c>
      <c r="J38" s="9">
        <v>743.4</v>
      </c>
      <c r="K38" s="9">
        <v>109.93510000000001</v>
      </c>
      <c r="L38" s="12">
        <v>0.147881490449287</v>
      </c>
      <c r="M38" t="s">
        <v>32</v>
      </c>
    </row>
    <row r="39" spans="1:13" x14ac:dyDescent="0.25">
      <c r="A39">
        <v>1230</v>
      </c>
      <c r="B39" s="3">
        <v>44766</v>
      </c>
      <c r="C39" t="s">
        <v>16</v>
      </c>
      <c r="D39" t="s">
        <v>21</v>
      </c>
      <c r="E39" t="s">
        <v>25</v>
      </c>
      <c r="F39" t="s">
        <v>27</v>
      </c>
      <c r="G39">
        <v>5</v>
      </c>
      <c r="H39" s="9">
        <v>409</v>
      </c>
      <c r="I39" s="12">
        <v>0.1</v>
      </c>
      <c r="J39" s="9">
        <v>1840.5</v>
      </c>
      <c r="K39" s="9">
        <v>339.89519999999999</v>
      </c>
      <c r="L39" s="12">
        <v>0.18467546862265699</v>
      </c>
      <c r="M39" t="s">
        <v>32</v>
      </c>
    </row>
    <row r="40" spans="1:13" x14ac:dyDescent="0.25">
      <c r="A40">
        <v>1201</v>
      </c>
      <c r="B40" s="3">
        <v>44664</v>
      </c>
      <c r="C40" t="s">
        <v>16</v>
      </c>
      <c r="D40" t="s">
        <v>21</v>
      </c>
      <c r="E40" t="s">
        <v>26</v>
      </c>
      <c r="F40" t="s">
        <v>28</v>
      </c>
      <c r="G40">
        <v>7</v>
      </c>
      <c r="H40" s="9">
        <v>406</v>
      </c>
      <c r="I40" s="12">
        <v>0</v>
      </c>
      <c r="J40" s="9">
        <v>2842</v>
      </c>
      <c r="K40" s="9">
        <v>467.64179999999999</v>
      </c>
      <c r="L40" s="12">
        <v>0.16454672765657999</v>
      </c>
      <c r="M40" t="s">
        <v>32</v>
      </c>
    </row>
    <row r="41" spans="1:13" x14ac:dyDescent="0.25">
      <c r="A41">
        <v>1205</v>
      </c>
      <c r="B41" s="3">
        <v>44646</v>
      </c>
      <c r="C41" t="s">
        <v>15</v>
      </c>
      <c r="D41" t="s">
        <v>20</v>
      </c>
      <c r="E41" t="s">
        <v>26</v>
      </c>
      <c r="F41" t="s">
        <v>28</v>
      </c>
      <c r="G41">
        <v>3</v>
      </c>
      <c r="H41" s="9">
        <v>31</v>
      </c>
      <c r="I41" s="12">
        <v>0.1</v>
      </c>
      <c r="J41" s="9">
        <v>83.7</v>
      </c>
      <c r="K41" s="9">
        <v>16.151399999999999</v>
      </c>
      <c r="L41" s="12">
        <v>0.19296774193548399</v>
      </c>
      <c r="M41" t="s">
        <v>32</v>
      </c>
    </row>
    <row r="42" spans="1:13" x14ac:dyDescent="0.25">
      <c r="A42">
        <v>1748</v>
      </c>
      <c r="B42" s="3">
        <v>44767</v>
      </c>
      <c r="C42" t="s">
        <v>17</v>
      </c>
      <c r="D42" t="s">
        <v>20</v>
      </c>
      <c r="E42" t="s">
        <v>26</v>
      </c>
      <c r="F42" t="s">
        <v>30</v>
      </c>
      <c r="G42">
        <v>5</v>
      </c>
      <c r="H42" s="9">
        <v>28</v>
      </c>
      <c r="I42" s="12">
        <v>0</v>
      </c>
      <c r="J42" s="9">
        <v>140</v>
      </c>
      <c r="K42" s="9">
        <v>24.423400000000001</v>
      </c>
      <c r="L42" s="12">
        <v>0.17445285714285699</v>
      </c>
      <c r="M42" t="s">
        <v>32</v>
      </c>
    </row>
    <row r="43" spans="1:13" x14ac:dyDescent="0.25">
      <c r="A43">
        <v>1001</v>
      </c>
      <c r="B43" s="3">
        <v>44652</v>
      </c>
      <c r="C43" t="s">
        <v>14</v>
      </c>
      <c r="D43" t="s">
        <v>22</v>
      </c>
      <c r="E43" t="s">
        <v>26</v>
      </c>
      <c r="F43" t="s">
        <v>31</v>
      </c>
      <c r="G43">
        <v>3</v>
      </c>
      <c r="H43" s="9">
        <v>79</v>
      </c>
      <c r="I43" s="12">
        <v>0</v>
      </c>
      <c r="J43" s="9">
        <v>237</v>
      </c>
      <c r="K43" s="9">
        <v>13.2834</v>
      </c>
      <c r="L43" s="12">
        <v>5.6048101265822797E-2</v>
      </c>
      <c r="M43" t="s">
        <v>32</v>
      </c>
    </row>
    <row r="44" spans="1:13" x14ac:dyDescent="0.25">
      <c r="A44">
        <v>1600</v>
      </c>
      <c r="B44" s="3">
        <v>44628</v>
      </c>
      <c r="C44" t="s">
        <v>15</v>
      </c>
      <c r="D44" t="s">
        <v>22</v>
      </c>
      <c r="E44" t="s">
        <v>26</v>
      </c>
      <c r="F44" t="s">
        <v>27</v>
      </c>
      <c r="G44">
        <v>3</v>
      </c>
      <c r="H44" s="9">
        <v>462</v>
      </c>
      <c r="I44" s="12">
        <v>0</v>
      </c>
      <c r="J44" s="9">
        <v>1386</v>
      </c>
      <c r="K44" s="9">
        <v>221.82900000000001</v>
      </c>
      <c r="L44" s="12">
        <v>0.160049783549784</v>
      </c>
      <c r="M44" t="s">
        <v>32</v>
      </c>
    </row>
    <row r="45" spans="1:13" x14ac:dyDescent="0.25">
      <c r="A45">
        <v>1441</v>
      </c>
      <c r="B45" s="3">
        <v>44832</v>
      </c>
      <c r="C45" t="s">
        <v>15</v>
      </c>
      <c r="D45" t="s">
        <v>20</v>
      </c>
      <c r="E45" t="s">
        <v>24</v>
      </c>
      <c r="F45" t="s">
        <v>31</v>
      </c>
      <c r="G45">
        <v>3</v>
      </c>
      <c r="H45" s="9">
        <v>331</v>
      </c>
      <c r="I45" s="12">
        <v>0.1</v>
      </c>
      <c r="J45" s="9">
        <v>893.7</v>
      </c>
      <c r="K45" s="9">
        <v>119.5789</v>
      </c>
      <c r="L45" s="12">
        <v>0.13380205885644</v>
      </c>
      <c r="M45" t="s">
        <v>32</v>
      </c>
    </row>
    <row r="46" spans="1:13" x14ac:dyDescent="0.25">
      <c r="A46">
        <v>1974</v>
      </c>
      <c r="B46" s="3">
        <v>44821</v>
      </c>
      <c r="C46" t="s">
        <v>17</v>
      </c>
      <c r="D46" t="s">
        <v>20</v>
      </c>
      <c r="E46" t="s">
        <v>24</v>
      </c>
      <c r="F46" t="s">
        <v>30</v>
      </c>
      <c r="G46">
        <v>3</v>
      </c>
      <c r="H46" s="9">
        <v>202</v>
      </c>
      <c r="I46" s="12">
        <v>0.2</v>
      </c>
      <c r="J46" s="9">
        <v>484.8</v>
      </c>
      <c r="K46" s="9">
        <v>128.25110000000001</v>
      </c>
      <c r="L46" s="12">
        <v>0.26454434818481798</v>
      </c>
      <c r="M46" t="s">
        <v>32</v>
      </c>
    </row>
    <row r="47" spans="1:13" x14ac:dyDescent="0.25">
      <c r="A47">
        <v>1313</v>
      </c>
      <c r="B47" s="3">
        <v>44595</v>
      </c>
      <c r="C47" t="s">
        <v>17</v>
      </c>
      <c r="D47" t="s">
        <v>21</v>
      </c>
      <c r="E47" t="s">
        <v>24</v>
      </c>
      <c r="F47" t="s">
        <v>30</v>
      </c>
      <c r="G47">
        <v>6</v>
      </c>
      <c r="H47" s="9">
        <v>449</v>
      </c>
      <c r="I47" s="12">
        <v>0</v>
      </c>
      <c r="J47" s="9">
        <v>2694</v>
      </c>
      <c r="K47" s="9">
        <v>382.75650000000002</v>
      </c>
      <c r="L47" s="12">
        <v>0.142077394209354</v>
      </c>
      <c r="M47" t="s">
        <v>32</v>
      </c>
    </row>
    <row r="48" spans="1:13" x14ac:dyDescent="0.25">
      <c r="A48">
        <v>1553</v>
      </c>
      <c r="B48" s="3">
        <v>44752</v>
      </c>
      <c r="C48" t="s">
        <v>18</v>
      </c>
      <c r="D48" t="s">
        <v>22</v>
      </c>
      <c r="E48" t="s">
        <v>26</v>
      </c>
      <c r="F48" t="s">
        <v>28</v>
      </c>
      <c r="G48">
        <v>4</v>
      </c>
      <c r="H48" s="9">
        <v>378</v>
      </c>
      <c r="I48" s="12">
        <v>0.1</v>
      </c>
      <c r="J48" s="9">
        <v>1360.8</v>
      </c>
      <c r="K48" s="9">
        <v>325.48689999999999</v>
      </c>
      <c r="L48" s="12">
        <v>0.239187904174015</v>
      </c>
      <c r="M48" t="s">
        <v>32</v>
      </c>
    </row>
    <row r="49" spans="1:13" x14ac:dyDescent="0.25">
      <c r="A49">
        <v>1492</v>
      </c>
      <c r="B49" s="3">
        <v>44689</v>
      </c>
      <c r="C49" t="s">
        <v>19</v>
      </c>
      <c r="D49" t="s">
        <v>21</v>
      </c>
      <c r="E49" t="s">
        <v>24</v>
      </c>
      <c r="F49" t="s">
        <v>31</v>
      </c>
      <c r="G49">
        <v>3</v>
      </c>
      <c r="H49" s="9">
        <v>338</v>
      </c>
      <c r="I49" s="12">
        <v>0.1</v>
      </c>
      <c r="J49" s="9">
        <v>912.6</v>
      </c>
      <c r="K49" s="9">
        <v>222.8365</v>
      </c>
      <c r="L49" s="12">
        <v>0.24417762436993201</v>
      </c>
      <c r="M49" t="s">
        <v>32</v>
      </c>
    </row>
    <row r="50" spans="1:13" x14ac:dyDescent="0.25">
      <c r="A50">
        <v>1683</v>
      </c>
      <c r="B50" s="3">
        <v>44819</v>
      </c>
      <c r="C50" t="s">
        <v>13</v>
      </c>
      <c r="D50" t="s">
        <v>21</v>
      </c>
      <c r="E50" t="s">
        <v>26</v>
      </c>
      <c r="F50" t="s">
        <v>28</v>
      </c>
      <c r="G50">
        <v>6</v>
      </c>
      <c r="H50" s="9">
        <v>138</v>
      </c>
      <c r="I50" s="12">
        <v>0</v>
      </c>
      <c r="J50" s="9">
        <v>828</v>
      </c>
      <c r="K50" s="9">
        <v>192.81979999999999</v>
      </c>
      <c r="L50" s="12">
        <v>0.232874154589372</v>
      </c>
      <c r="M50" t="s">
        <v>32</v>
      </c>
    </row>
    <row r="51" spans="1:13" x14ac:dyDescent="0.25">
      <c r="A51">
        <v>1489</v>
      </c>
      <c r="B51" s="3">
        <v>44712</v>
      </c>
      <c r="C51" t="s">
        <v>17</v>
      </c>
      <c r="D51" t="s">
        <v>21</v>
      </c>
      <c r="E51" t="s">
        <v>24</v>
      </c>
      <c r="F51" t="s">
        <v>27</v>
      </c>
      <c r="G51">
        <v>2</v>
      </c>
      <c r="H51" s="9">
        <v>308</v>
      </c>
      <c r="I51" s="12">
        <v>0</v>
      </c>
      <c r="J51" s="9">
        <v>616</v>
      </c>
      <c r="K51" s="9">
        <v>61.307000000000002</v>
      </c>
      <c r="L51" s="12">
        <v>9.9524350649350599E-2</v>
      </c>
      <c r="M51" t="s">
        <v>32</v>
      </c>
    </row>
    <row r="52" spans="1:13" x14ac:dyDescent="0.25">
      <c r="A52">
        <v>1840</v>
      </c>
      <c r="B52" s="3">
        <v>44624</v>
      </c>
      <c r="C52" t="s">
        <v>19</v>
      </c>
      <c r="D52" t="s">
        <v>21</v>
      </c>
      <c r="E52" t="s">
        <v>26</v>
      </c>
      <c r="F52" t="s">
        <v>29</v>
      </c>
      <c r="G52">
        <v>8</v>
      </c>
      <c r="H52" s="9">
        <v>40</v>
      </c>
      <c r="I52" s="12">
        <v>0.3</v>
      </c>
      <c r="J52" s="9">
        <v>224</v>
      </c>
      <c r="K52" s="9">
        <v>55.154200000000003</v>
      </c>
      <c r="L52" s="12">
        <v>0.246224107142857</v>
      </c>
      <c r="M52" t="s">
        <v>32</v>
      </c>
    </row>
    <row r="53" spans="1:13" x14ac:dyDescent="0.25">
      <c r="A53">
        <v>1387</v>
      </c>
      <c r="B53" s="3">
        <v>44627</v>
      </c>
      <c r="C53" t="s">
        <v>15</v>
      </c>
      <c r="D53" t="s">
        <v>20</v>
      </c>
      <c r="E53" t="s">
        <v>26</v>
      </c>
      <c r="F53" t="s">
        <v>29</v>
      </c>
      <c r="G53">
        <v>4</v>
      </c>
      <c r="H53" s="9">
        <v>376</v>
      </c>
      <c r="I53" s="12">
        <v>0</v>
      </c>
      <c r="J53" s="9">
        <v>1504</v>
      </c>
      <c r="K53" s="9">
        <v>269.69319999999999</v>
      </c>
      <c r="L53" s="12">
        <v>0.179317287234043</v>
      </c>
      <c r="M53" t="s">
        <v>32</v>
      </c>
    </row>
    <row r="54" spans="1:13" x14ac:dyDescent="0.25">
      <c r="A54">
        <v>1871</v>
      </c>
      <c r="B54" s="3">
        <v>44650</v>
      </c>
      <c r="C54" t="s">
        <v>18</v>
      </c>
      <c r="D54" t="s">
        <v>22</v>
      </c>
      <c r="E54" t="s">
        <v>24</v>
      </c>
      <c r="F54" t="s">
        <v>29</v>
      </c>
      <c r="G54">
        <v>6</v>
      </c>
      <c r="H54" s="9">
        <v>46</v>
      </c>
      <c r="I54" s="12">
        <v>0.1</v>
      </c>
      <c r="J54" s="9">
        <v>248.4</v>
      </c>
      <c r="K54" s="9">
        <v>33.193199999999997</v>
      </c>
      <c r="L54" s="12">
        <v>0.13362801932367199</v>
      </c>
      <c r="M54" t="s">
        <v>32</v>
      </c>
    </row>
    <row r="55" spans="1:13" x14ac:dyDescent="0.25">
      <c r="A55">
        <v>1612</v>
      </c>
      <c r="B55" s="3">
        <v>44840</v>
      </c>
      <c r="C55" t="s">
        <v>15</v>
      </c>
      <c r="D55" t="s">
        <v>23</v>
      </c>
      <c r="E55" t="s">
        <v>26</v>
      </c>
      <c r="F55" t="s">
        <v>28</v>
      </c>
      <c r="G55">
        <v>2</v>
      </c>
      <c r="H55" s="9">
        <v>464</v>
      </c>
      <c r="I55" s="12">
        <v>0.3</v>
      </c>
      <c r="J55" s="9">
        <v>649.6</v>
      </c>
      <c r="K55" s="9">
        <v>105.617</v>
      </c>
      <c r="L55" s="12">
        <v>0.162587746305419</v>
      </c>
      <c r="M55" t="s">
        <v>32</v>
      </c>
    </row>
    <row r="56" spans="1:13" x14ac:dyDescent="0.25">
      <c r="A56">
        <v>1663</v>
      </c>
      <c r="B56" s="3">
        <v>44580</v>
      </c>
      <c r="C56" t="s">
        <v>13</v>
      </c>
      <c r="D56" t="s">
        <v>21</v>
      </c>
      <c r="E56" t="s">
        <v>26</v>
      </c>
      <c r="F56" t="s">
        <v>27</v>
      </c>
      <c r="G56">
        <v>2</v>
      </c>
      <c r="H56" s="9">
        <v>400</v>
      </c>
      <c r="I56" s="12">
        <v>0.3</v>
      </c>
      <c r="J56" s="9">
        <v>560</v>
      </c>
      <c r="K56" s="9">
        <v>77.753799999999998</v>
      </c>
      <c r="L56" s="12">
        <v>0.138846071428571</v>
      </c>
      <c r="M56" t="s">
        <v>33</v>
      </c>
    </row>
    <row r="57" spans="1:13" x14ac:dyDescent="0.25">
      <c r="A57">
        <v>1347</v>
      </c>
      <c r="B57" s="3">
        <v>44795</v>
      </c>
      <c r="C57" t="s">
        <v>19</v>
      </c>
      <c r="D57" t="s">
        <v>20</v>
      </c>
      <c r="E57" t="s">
        <v>26</v>
      </c>
      <c r="F57" t="s">
        <v>30</v>
      </c>
      <c r="G57">
        <v>2</v>
      </c>
      <c r="H57" s="9">
        <v>402</v>
      </c>
      <c r="I57" s="12">
        <v>0.3</v>
      </c>
      <c r="J57" s="9">
        <v>562.79999999999995</v>
      </c>
      <c r="K57" s="9">
        <v>153.92439999999999</v>
      </c>
      <c r="L57" s="12">
        <v>0.27349751243781101</v>
      </c>
      <c r="M57" t="s">
        <v>33</v>
      </c>
    </row>
    <row r="58" spans="1:13" x14ac:dyDescent="0.25">
      <c r="A58">
        <v>1441</v>
      </c>
      <c r="B58" s="3">
        <v>44832</v>
      </c>
      <c r="C58" t="s">
        <v>15</v>
      </c>
      <c r="D58" t="s">
        <v>20</v>
      </c>
      <c r="E58" t="s">
        <v>24</v>
      </c>
      <c r="F58" t="s">
        <v>31</v>
      </c>
      <c r="G58">
        <v>3</v>
      </c>
      <c r="H58" s="9">
        <v>331</v>
      </c>
      <c r="I58" s="12">
        <v>0.1</v>
      </c>
      <c r="J58" s="9">
        <v>893.7</v>
      </c>
      <c r="K58" s="9">
        <v>119.5789</v>
      </c>
      <c r="L58" s="12">
        <v>0.13380205885644</v>
      </c>
      <c r="M58" t="s">
        <v>32</v>
      </c>
    </row>
    <row r="59" spans="1:13" x14ac:dyDescent="0.25">
      <c r="A59">
        <v>1747</v>
      </c>
      <c r="B59" s="3">
        <v>44598</v>
      </c>
      <c r="C59" t="s">
        <v>15</v>
      </c>
      <c r="D59" t="s">
        <v>21</v>
      </c>
      <c r="E59" t="s">
        <v>25</v>
      </c>
      <c r="F59" t="s">
        <v>27</v>
      </c>
      <c r="G59">
        <v>9</v>
      </c>
      <c r="H59" s="9">
        <v>23</v>
      </c>
      <c r="I59" s="12">
        <v>0</v>
      </c>
      <c r="J59" s="9">
        <v>207</v>
      </c>
      <c r="K59" s="9">
        <v>56.210599999999999</v>
      </c>
      <c r="L59" s="12">
        <v>0.27154879227053103</v>
      </c>
      <c r="M59" t="s">
        <v>32</v>
      </c>
    </row>
    <row r="60" spans="1:13" x14ac:dyDescent="0.25">
      <c r="A60">
        <v>1648</v>
      </c>
      <c r="B60" s="3">
        <v>44813</v>
      </c>
      <c r="C60" t="s">
        <v>18</v>
      </c>
      <c r="D60" t="s">
        <v>21</v>
      </c>
      <c r="E60" t="s">
        <v>26</v>
      </c>
      <c r="F60" t="s">
        <v>31</v>
      </c>
      <c r="G60">
        <v>3</v>
      </c>
      <c r="H60" s="9">
        <v>74</v>
      </c>
      <c r="I60" s="12">
        <v>0.1</v>
      </c>
      <c r="J60" s="9">
        <v>199.8</v>
      </c>
      <c r="K60" s="9">
        <v>10.6197</v>
      </c>
      <c r="L60" s="12">
        <v>5.3151651651651602E-2</v>
      </c>
      <c r="M60" t="s">
        <v>32</v>
      </c>
    </row>
    <row r="61" spans="1:13" x14ac:dyDescent="0.25">
      <c r="A61">
        <v>1738</v>
      </c>
      <c r="B61" s="3">
        <v>44735</v>
      </c>
      <c r="C61" t="s">
        <v>18</v>
      </c>
      <c r="D61" t="s">
        <v>21</v>
      </c>
      <c r="E61" t="s">
        <v>24</v>
      </c>
      <c r="F61" t="s">
        <v>28</v>
      </c>
      <c r="G61">
        <v>9</v>
      </c>
      <c r="H61" s="9">
        <v>435</v>
      </c>
      <c r="I61" s="12">
        <v>0</v>
      </c>
      <c r="J61" s="9">
        <v>3915</v>
      </c>
      <c r="K61" s="9">
        <v>1121.3521000000001</v>
      </c>
      <c r="L61" s="12">
        <v>0.28642454661558098</v>
      </c>
      <c r="M61" t="s">
        <v>32</v>
      </c>
    </row>
    <row r="62" spans="1:13" x14ac:dyDescent="0.25">
      <c r="A62">
        <v>1455</v>
      </c>
      <c r="B62" s="3">
        <v>44671</v>
      </c>
      <c r="C62" t="s">
        <v>17</v>
      </c>
      <c r="D62" t="s">
        <v>23</v>
      </c>
      <c r="E62" t="s">
        <v>26</v>
      </c>
      <c r="F62" t="s">
        <v>30</v>
      </c>
      <c r="G62">
        <v>9</v>
      </c>
      <c r="H62" s="9">
        <v>397</v>
      </c>
      <c r="I62" s="12">
        <v>0</v>
      </c>
      <c r="J62" s="9">
        <v>3573</v>
      </c>
      <c r="K62" s="9">
        <v>830.28319999999997</v>
      </c>
      <c r="L62" s="12">
        <v>0.23237705009795701</v>
      </c>
      <c r="M62" t="s">
        <v>32</v>
      </c>
    </row>
    <row r="63" spans="1:13" x14ac:dyDescent="0.25">
      <c r="A63">
        <v>1632</v>
      </c>
      <c r="B63" s="3">
        <v>44804</v>
      </c>
      <c r="C63" t="s">
        <v>13</v>
      </c>
      <c r="D63" t="s">
        <v>21</v>
      </c>
      <c r="E63" t="s">
        <v>26</v>
      </c>
      <c r="F63" t="s">
        <v>30</v>
      </c>
      <c r="G63">
        <v>5</v>
      </c>
      <c r="H63" s="9">
        <v>31</v>
      </c>
      <c r="I63" s="12">
        <v>0.1</v>
      </c>
      <c r="J63" s="9">
        <v>139.5</v>
      </c>
      <c r="K63" s="9">
        <v>40.703499999999998</v>
      </c>
      <c r="L63" s="12">
        <v>0.29178136200716798</v>
      </c>
      <c r="M63" t="s">
        <v>32</v>
      </c>
    </row>
    <row r="64" spans="1:13" x14ac:dyDescent="0.25">
      <c r="A64">
        <v>1391</v>
      </c>
      <c r="B64" s="3">
        <v>44706</v>
      </c>
      <c r="C64" t="s">
        <v>15</v>
      </c>
      <c r="D64" t="s">
        <v>23</v>
      </c>
      <c r="E64" t="s">
        <v>24</v>
      </c>
      <c r="F64" t="s">
        <v>28</v>
      </c>
      <c r="G64">
        <v>9</v>
      </c>
      <c r="H64" s="9">
        <v>114</v>
      </c>
      <c r="I64" s="12">
        <v>0</v>
      </c>
      <c r="J64" s="9">
        <v>1026</v>
      </c>
      <c r="K64" s="9">
        <v>158.72049999999999</v>
      </c>
      <c r="L64" s="12">
        <v>0.154698343079922</v>
      </c>
      <c r="M64" t="s">
        <v>32</v>
      </c>
    </row>
    <row r="65" spans="1:13" x14ac:dyDescent="0.25">
      <c r="A65">
        <v>1520</v>
      </c>
      <c r="B65" s="3">
        <v>44697</v>
      </c>
      <c r="C65" t="s">
        <v>13</v>
      </c>
      <c r="D65" t="s">
        <v>20</v>
      </c>
      <c r="E65" t="s">
        <v>26</v>
      </c>
      <c r="F65" t="s">
        <v>31</v>
      </c>
      <c r="G65">
        <v>5</v>
      </c>
      <c r="H65" s="9">
        <v>224</v>
      </c>
      <c r="I65" s="12">
        <v>0.3</v>
      </c>
      <c r="J65" s="9">
        <v>784</v>
      </c>
      <c r="K65" s="9">
        <v>119.7747</v>
      </c>
      <c r="L65" s="12">
        <v>0.15277385204081601</v>
      </c>
      <c r="M65" t="s">
        <v>32</v>
      </c>
    </row>
    <row r="66" spans="1:13" x14ac:dyDescent="0.25">
      <c r="A66">
        <v>1166</v>
      </c>
      <c r="B66" s="3">
        <v>44625</v>
      </c>
      <c r="C66" t="s">
        <v>16</v>
      </c>
      <c r="D66" t="s">
        <v>21</v>
      </c>
      <c r="E66" t="s">
        <v>25</v>
      </c>
      <c r="F66" t="s">
        <v>31</v>
      </c>
      <c r="G66">
        <v>1</v>
      </c>
      <c r="H66" s="9">
        <v>322</v>
      </c>
      <c r="I66" s="12">
        <v>0.2</v>
      </c>
      <c r="J66" s="9">
        <v>257.60000000000002</v>
      </c>
      <c r="K66" s="9">
        <v>58.454700000000003</v>
      </c>
      <c r="L66" s="12">
        <v>0.226920419254658</v>
      </c>
      <c r="M66" t="s">
        <v>32</v>
      </c>
    </row>
    <row r="67" spans="1:13" x14ac:dyDescent="0.25">
      <c r="A67">
        <v>1498</v>
      </c>
      <c r="B67" s="3">
        <v>44704</v>
      </c>
      <c r="C67" t="s">
        <v>16</v>
      </c>
      <c r="D67" t="s">
        <v>22</v>
      </c>
      <c r="E67" t="s">
        <v>26</v>
      </c>
      <c r="F67" t="s">
        <v>30</v>
      </c>
      <c r="G67">
        <v>4</v>
      </c>
      <c r="H67" s="9">
        <v>357</v>
      </c>
      <c r="I67" s="12">
        <v>0</v>
      </c>
      <c r="J67" s="9">
        <v>1428</v>
      </c>
      <c r="K67" s="9">
        <v>405.84559999999999</v>
      </c>
      <c r="L67" s="12">
        <v>0.28420560224089603</v>
      </c>
      <c r="M67" t="s">
        <v>32</v>
      </c>
    </row>
    <row r="68" spans="1:13" x14ac:dyDescent="0.25">
      <c r="A68">
        <v>1189</v>
      </c>
      <c r="B68" s="3">
        <v>44609</v>
      </c>
      <c r="C68" t="s">
        <v>14</v>
      </c>
      <c r="D68" t="s">
        <v>22</v>
      </c>
      <c r="E68" t="s">
        <v>26</v>
      </c>
      <c r="F68" t="s">
        <v>31</v>
      </c>
      <c r="G68">
        <v>3</v>
      </c>
      <c r="H68" s="9">
        <v>307</v>
      </c>
      <c r="I68" s="12">
        <v>0</v>
      </c>
      <c r="J68" s="9">
        <v>921</v>
      </c>
      <c r="K68" s="9">
        <v>156.79400000000001</v>
      </c>
      <c r="L68" s="12">
        <v>0.17024321389793701</v>
      </c>
      <c r="M68" t="s">
        <v>32</v>
      </c>
    </row>
    <row r="69" spans="1:13" x14ac:dyDescent="0.25">
      <c r="A69">
        <v>1772</v>
      </c>
      <c r="B69" s="3">
        <v>44711</v>
      </c>
      <c r="C69" t="s">
        <v>19</v>
      </c>
      <c r="D69" t="s">
        <v>23</v>
      </c>
      <c r="E69" t="s">
        <v>24</v>
      </c>
      <c r="F69" t="s">
        <v>27</v>
      </c>
      <c r="G69">
        <v>3</v>
      </c>
      <c r="H69" s="9">
        <v>236</v>
      </c>
      <c r="I69" s="12">
        <v>0</v>
      </c>
      <c r="J69" s="9">
        <v>708</v>
      </c>
      <c r="K69" s="9">
        <v>151.18889999999999</v>
      </c>
      <c r="L69" s="12">
        <v>0.21354364406779699</v>
      </c>
      <c r="M69" t="s">
        <v>32</v>
      </c>
    </row>
    <row r="70" spans="1:13" x14ac:dyDescent="0.25">
      <c r="A70">
        <v>1573</v>
      </c>
      <c r="B70" s="3">
        <v>44725</v>
      </c>
      <c r="C70" t="s">
        <v>18</v>
      </c>
      <c r="D70" t="s">
        <v>22</v>
      </c>
      <c r="E70" t="s">
        <v>25</v>
      </c>
      <c r="F70" t="s">
        <v>29</v>
      </c>
      <c r="G70">
        <v>4</v>
      </c>
      <c r="H70" s="9">
        <v>179</v>
      </c>
      <c r="I70" s="12">
        <v>0.2</v>
      </c>
      <c r="J70" s="9">
        <v>572.79999999999995</v>
      </c>
      <c r="K70" s="9">
        <v>45.0749</v>
      </c>
      <c r="L70" s="12">
        <v>7.8692213687150805E-2</v>
      </c>
      <c r="M70" t="s">
        <v>33</v>
      </c>
    </row>
    <row r="71" spans="1:13" x14ac:dyDescent="0.25">
      <c r="A71">
        <v>1471</v>
      </c>
      <c r="B71" s="3">
        <v>44826</v>
      </c>
      <c r="C71" t="s">
        <v>14</v>
      </c>
      <c r="D71" t="s">
        <v>21</v>
      </c>
      <c r="E71" t="s">
        <v>25</v>
      </c>
      <c r="F71" t="s">
        <v>29</v>
      </c>
      <c r="G71">
        <v>5</v>
      </c>
      <c r="H71" s="9">
        <v>473</v>
      </c>
      <c r="I71" s="12">
        <v>0.1</v>
      </c>
      <c r="J71" s="9">
        <v>2128.5</v>
      </c>
      <c r="K71" s="9">
        <v>357.14519999999999</v>
      </c>
      <c r="L71" s="12">
        <v>0.16779196617336201</v>
      </c>
      <c r="M71" t="s">
        <v>32</v>
      </c>
    </row>
    <row r="72" spans="1:13" x14ac:dyDescent="0.25">
      <c r="A72">
        <v>1330</v>
      </c>
      <c r="B72" s="3">
        <v>44792</v>
      </c>
      <c r="C72" t="s">
        <v>13</v>
      </c>
      <c r="D72" t="s">
        <v>22</v>
      </c>
      <c r="E72" t="s">
        <v>24</v>
      </c>
      <c r="F72" t="s">
        <v>30</v>
      </c>
      <c r="G72">
        <v>9</v>
      </c>
      <c r="H72" s="9">
        <v>333</v>
      </c>
      <c r="I72" s="12">
        <v>0.3</v>
      </c>
      <c r="J72" s="9">
        <v>2097.9</v>
      </c>
      <c r="K72" s="9">
        <v>178.69470000000001</v>
      </c>
      <c r="L72" s="12">
        <v>8.5177892177892206E-2</v>
      </c>
      <c r="M72" t="s">
        <v>32</v>
      </c>
    </row>
    <row r="73" spans="1:13" x14ac:dyDescent="0.25">
      <c r="A73">
        <v>1683</v>
      </c>
      <c r="B73" s="3">
        <v>44859</v>
      </c>
      <c r="C73" t="s">
        <v>14</v>
      </c>
      <c r="D73" t="s">
        <v>21</v>
      </c>
      <c r="E73" t="s">
        <v>25</v>
      </c>
      <c r="F73" t="s">
        <v>28</v>
      </c>
      <c r="G73">
        <v>4</v>
      </c>
      <c r="H73" s="9">
        <v>383</v>
      </c>
      <c r="I73" s="12">
        <v>0.2</v>
      </c>
      <c r="J73" s="9">
        <v>1225.5999999999999</v>
      </c>
      <c r="K73" s="9">
        <v>258.25900000000001</v>
      </c>
      <c r="L73" s="12">
        <v>0.21072046344647499</v>
      </c>
      <c r="M73" t="s">
        <v>32</v>
      </c>
    </row>
    <row r="74" spans="1:13" x14ac:dyDescent="0.25">
      <c r="A74">
        <v>1040</v>
      </c>
      <c r="B74" s="3">
        <v>44690</v>
      </c>
      <c r="C74" t="s">
        <v>13</v>
      </c>
      <c r="D74" t="s">
        <v>22</v>
      </c>
      <c r="E74" t="s">
        <v>25</v>
      </c>
      <c r="F74" t="s">
        <v>27</v>
      </c>
      <c r="G74">
        <v>2</v>
      </c>
      <c r="H74" s="9">
        <v>233</v>
      </c>
      <c r="I74" s="12">
        <v>0.2</v>
      </c>
      <c r="J74" s="9">
        <v>372.8</v>
      </c>
      <c r="K74" s="9">
        <v>24.732099999999999</v>
      </c>
      <c r="L74" s="12">
        <v>6.6341469957081498E-2</v>
      </c>
      <c r="M74" t="s">
        <v>32</v>
      </c>
    </row>
    <row r="75" spans="1:13" x14ac:dyDescent="0.25">
      <c r="A75">
        <v>1230</v>
      </c>
      <c r="B75" s="3">
        <v>44713</v>
      </c>
      <c r="C75" t="s">
        <v>16</v>
      </c>
      <c r="D75" t="s">
        <v>22</v>
      </c>
      <c r="E75" t="s">
        <v>26</v>
      </c>
      <c r="F75" t="s">
        <v>29</v>
      </c>
      <c r="G75">
        <v>7</v>
      </c>
      <c r="H75" s="9">
        <v>121</v>
      </c>
      <c r="I75" s="12">
        <v>0</v>
      </c>
      <c r="J75" s="9">
        <v>847</v>
      </c>
      <c r="K75" s="9">
        <v>162.05869999999999</v>
      </c>
      <c r="L75" s="12">
        <v>0.19133258559622199</v>
      </c>
      <c r="M75" t="s">
        <v>32</v>
      </c>
    </row>
    <row r="76" spans="1:13" x14ac:dyDescent="0.25">
      <c r="A76">
        <v>1691</v>
      </c>
      <c r="B76" s="3">
        <v>44828</v>
      </c>
      <c r="C76" t="s">
        <v>17</v>
      </c>
      <c r="D76" t="s">
        <v>21</v>
      </c>
      <c r="E76" t="s">
        <v>25</v>
      </c>
      <c r="F76" t="s">
        <v>30</v>
      </c>
      <c r="G76">
        <v>6</v>
      </c>
      <c r="H76" s="9">
        <v>230</v>
      </c>
      <c r="I76" s="12">
        <v>0.1</v>
      </c>
      <c r="J76" s="9">
        <v>1242</v>
      </c>
      <c r="K76" s="9">
        <v>204.70179999999999</v>
      </c>
      <c r="L76" s="12">
        <v>0.16481626409017699</v>
      </c>
      <c r="M76" t="s">
        <v>32</v>
      </c>
    </row>
    <row r="77" spans="1:13" x14ac:dyDescent="0.25">
      <c r="A77">
        <v>1401</v>
      </c>
      <c r="B77" s="3">
        <v>44660</v>
      </c>
      <c r="C77" t="s">
        <v>14</v>
      </c>
      <c r="D77" t="s">
        <v>23</v>
      </c>
      <c r="E77" t="s">
        <v>24</v>
      </c>
      <c r="F77" t="s">
        <v>31</v>
      </c>
      <c r="G77">
        <v>3</v>
      </c>
      <c r="H77" s="9">
        <v>46</v>
      </c>
      <c r="I77" s="12">
        <v>0.2</v>
      </c>
      <c r="J77" s="9">
        <v>110.4</v>
      </c>
      <c r="K77" s="9">
        <v>29.607399999999998</v>
      </c>
      <c r="L77" s="12">
        <v>0.26818297101449301</v>
      </c>
      <c r="M77" t="s">
        <v>32</v>
      </c>
    </row>
    <row r="78" spans="1:13" x14ac:dyDescent="0.25">
      <c r="A78">
        <v>1242</v>
      </c>
      <c r="B78" s="3">
        <v>44776</v>
      </c>
      <c r="C78" t="s">
        <v>15</v>
      </c>
      <c r="D78" t="s">
        <v>23</v>
      </c>
      <c r="E78" t="s">
        <v>25</v>
      </c>
      <c r="F78" t="s">
        <v>29</v>
      </c>
      <c r="G78">
        <v>2</v>
      </c>
      <c r="H78" s="9">
        <v>283</v>
      </c>
      <c r="I78" s="12">
        <v>0</v>
      </c>
      <c r="J78" s="9">
        <v>566</v>
      </c>
      <c r="K78" s="9">
        <v>68.930000000000007</v>
      </c>
      <c r="L78" s="12">
        <v>0.12178445229682</v>
      </c>
      <c r="M78" t="s">
        <v>33</v>
      </c>
    </row>
    <row r="79" spans="1:13" x14ac:dyDescent="0.25">
      <c r="A79">
        <v>1106</v>
      </c>
      <c r="B79" s="3">
        <v>44566</v>
      </c>
      <c r="C79" t="s">
        <v>16</v>
      </c>
      <c r="D79" t="s">
        <v>20</v>
      </c>
      <c r="E79" t="s">
        <v>24</v>
      </c>
      <c r="F79" t="s">
        <v>27</v>
      </c>
      <c r="G79">
        <v>1</v>
      </c>
      <c r="H79" s="9">
        <v>41</v>
      </c>
      <c r="I79" s="12">
        <v>0</v>
      </c>
      <c r="J79" s="9">
        <v>41</v>
      </c>
      <c r="K79" s="9">
        <v>3.6907000000000001</v>
      </c>
      <c r="L79" s="12">
        <v>9.0017073170731696E-2</v>
      </c>
      <c r="M79" t="s">
        <v>32</v>
      </c>
    </row>
    <row r="80" spans="1:13" x14ac:dyDescent="0.25">
      <c r="A80">
        <v>1047</v>
      </c>
      <c r="B80" s="3">
        <v>44722</v>
      </c>
      <c r="C80" t="s">
        <v>16</v>
      </c>
      <c r="D80" t="s">
        <v>23</v>
      </c>
      <c r="E80" t="s">
        <v>26</v>
      </c>
      <c r="F80" t="s">
        <v>28</v>
      </c>
      <c r="G80">
        <v>9</v>
      </c>
      <c r="H80" s="9">
        <v>95</v>
      </c>
      <c r="I80" s="12">
        <v>0.1</v>
      </c>
      <c r="J80" s="9">
        <v>769.5</v>
      </c>
      <c r="K80" s="9">
        <v>202.1123</v>
      </c>
      <c r="L80" s="12">
        <v>0.26265406107862199</v>
      </c>
      <c r="M80" t="s">
        <v>32</v>
      </c>
    </row>
    <row r="81" spans="1:13" x14ac:dyDescent="0.25">
      <c r="A81">
        <v>1505</v>
      </c>
      <c r="B81" s="3">
        <v>44794</v>
      </c>
      <c r="C81" t="s">
        <v>15</v>
      </c>
      <c r="D81" t="s">
        <v>23</v>
      </c>
      <c r="E81" t="s">
        <v>25</v>
      </c>
      <c r="F81" t="s">
        <v>28</v>
      </c>
      <c r="G81">
        <v>9</v>
      </c>
      <c r="H81" s="9">
        <v>429</v>
      </c>
      <c r="I81" s="12">
        <v>0</v>
      </c>
      <c r="J81" s="9">
        <v>3861</v>
      </c>
      <c r="K81" s="9">
        <v>370.87299999999999</v>
      </c>
      <c r="L81" s="12">
        <v>9.6056203056202993E-2</v>
      </c>
      <c r="M81" t="s">
        <v>32</v>
      </c>
    </row>
    <row r="82" spans="1:13" x14ac:dyDescent="0.25">
      <c r="A82">
        <v>1663</v>
      </c>
      <c r="B82" s="3">
        <v>44820</v>
      </c>
      <c r="C82" t="s">
        <v>18</v>
      </c>
      <c r="D82" t="s">
        <v>23</v>
      </c>
      <c r="E82" t="s">
        <v>26</v>
      </c>
      <c r="F82" t="s">
        <v>27</v>
      </c>
      <c r="G82">
        <v>8</v>
      </c>
      <c r="H82" s="9">
        <v>328</v>
      </c>
      <c r="I82" s="12">
        <v>0.1</v>
      </c>
      <c r="J82" s="9">
        <v>2361.6</v>
      </c>
      <c r="K82" s="9">
        <v>228.72800000000001</v>
      </c>
      <c r="L82" s="12">
        <v>9.6852981029810298E-2</v>
      </c>
      <c r="M82" t="s">
        <v>32</v>
      </c>
    </row>
    <row r="83" spans="1:13" x14ac:dyDescent="0.25">
      <c r="A83">
        <v>1001</v>
      </c>
      <c r="B83" s="3">
        <v>44846</v>
      </c>
      <c r="C83" t="s">
        <v>17</v>
      </c>
      <c r="D83" t="s">
        <v>23</v>
      </c>
      <c r="E83" t="s">
        <v>24</v>
      </c>
      <c r="F83" t="s">
        <v>31</v>
      </c>
      <c r="G83">
        <v>8</v>
      </c>
      <c r="H83" s="9">
        <v>410</v>
      </c>
      <c r="I83" s="12">
        <v>0.3</v>
      </c>
      <c r="J83" s="9">
        <v>2296</v>
      </c>
      <c r="K83" s="9">
        <v>385.31880000000001</v>
      </c>
      <c r="L83" s="12">
        <v>0.167821777003484</v>
      </c>
      <c r="M83" t="s">
        <v>32</v>
      </c>
    </row>
    <row r="84" spans="1:13" x14ac:dyDescent="0.25">
      <c r="A84">
        <v>1159</v>
      </c>
      <c r="B84" s="3">
        <v>44773</v>
      </c>
      <c r="C84" t="s">
        <v>17</v>
      </c>
      <c r="D84" t="s">
        <v>21</v>
      </c>
      <c r="E84" t="s">
        <v>26</v>
      </c>
      <c r="F84" t="s">
        <v>28</v>
      </c>
      <c r="G84">
        <v>4</v>
      </c>
      <c r="H84" s="9">
        <v>60</v>
      </c>
      <c r="I84" s="12">
        <v>0.2</v>
      </c>
      <c r="J84" s="9">
        <v>192</v>
      </c>
      <c r="K84" s="9">
        <v>55.8949</v>
      </c>
      <c r="L84" s="12">
        <v>0.291119270833333</v>
      </c>
      <c r="M84" t="s">
        <v>32</v>
      </c>
    </row>
    <row r="85" spans="1:13" x14ac:dyDescent="0.25">
      <c r="A85">
        <v>1955</v>
      </c>
      <c r="B85" s="3">
        <v>44639</v>
      </c>
      <c r="C85" t="s">
        <v>14</v>
      </c>
      <c r="D85" t="s">
        <v>22</v>
      </c>
      <c r="E85" t="s">
        <v>24</v>
      </c>
      <c r="F85" t="s">
        <v>30</v>
      </c>
      <c r="G85">
        <v>1</v>
      </c>
      <c r="H85" s="9">
        <v>34</v>
      </c>
      <c r="I85" s="12">
        <v>0.3</v>
      </c>
      <c r="J85" s="9">
        <v>23.8</v>
      </c>
      <c r="K85" s="9">
        <v>3.6964000000000001</v>
      </c>
      <c r="L85" s="12">
        <v>0.155310924369748</v>
      </c>
      <c r="M85" t="s">
        <v>32</v>
      </c>
    </row>
    <row r="86" spans="1:13" x14ac:dyDescent="0.25">
      <c r="A86">
        <v>1775</v>
      </c>
      <c r="B86" s="3">
        <v>44643</v>
      </c>
      <c r="C86" t="s">
        <v>14</v>
      </c>
      <c r="D86" t="s">
        <v>23</v>
      </c>
      <c r="E86" t="s">
        <v>24</v>
      </c>
      <c r="F86" t="s">
        <v>29</v>
      </c>
      <c r="G86">
        <v>9</v>
      </c>
      <c r="H86" s="9">
        <v>339</v>
      </c>
      <c r="I86" s="12">
        <v>0</v>
      </c>
      <c r="J86" s="9">
        <v>3051</v>
      </c>
      <c r="K86" s="9">
        <v>465.20499999999998</v>
      </c>
      <c r="L86" s="12">
        <v>0.152476237299246</v>
      </c>
      <c r="M86" t="s">
        <v>32</v>
      </c>
    </row>
    <row r="87" spans="1:13" x14ac:dyDescent="0.25">
      <c r="A87">
        <v>1251</v>
      </c>
      <c r="B87" s="3">
        <v>44674</v>
      </c>
      <c r="C87" t="s">
        <v>14</v>
      </c>
      <c r="D87" t="s">
        <v>22</v>
      </c>
      <c r="E87" t="s">
        <v>25</v>
      </c>
      <c r="F87" t="s">
        <v>30</v>
      </c>
      <c r="G87">
        <v>1</v>
      </c>
      <c r="H87" s="9">
        <v>65</v>
      </c>
      <c r="I87" s="12">
        <v>0.1</v>
      </c>
      <c r="J87" s="9">
        <v>58.5</v>
      </c>
      <c r="K87" s="9">
        <v>11.849500000000001</v>
      </c>
      <c r="L87" s="12">
        <v>0.20255555555555599</v>
      </c>
      <c r="M87" t="s">
        <v>32</v>
      </c>
    </row>
    <row r="88" spans="1:13" x14ac:dyDescent="0.25">
      <c r="A88">
        <v>1080</v>
      </c>
      <c r="B88" s="3">
        <v>44647</v>
      </c>
      <c r="C88" t="s">
        <v>19</v>
      </c>
      <c r="D88" t="s">
        <v>20</v>
      </c>
      <c r="E88" t="s">
        <v>25</v>
      </c>
      <c r="F88" t="s">
        <v>28</v>
      </c>
      <c r="G88">
        <v>2</v>
      </c>
      <c r="H88" s="9">
        <v>293</v>
      </c>
      <c r="I88" s="12">
        <v>0</v>
      </c>
      <c r="J88" s="9">
        <v>586</v>
      </c>
      <c r="K88" s="9">
        <v>115.40819999999999</v>
      </c>
      <c r="L88" s="12">
        <v>0.196942320819113</v>
      </c>
      <c r="M88" t="s">
        <v>32</v>
      </c>
    </row>
    <row r="89" spans="1:13" x14ac:dyDescent="0.25">
      <c r="A89">
        <v>1020</v>
      </c>
      <c r="B89" s="3">
        <v>44623</v>
      </c>
      <c r="C89" t="s">
        <v>19</v>
      </c>
      <c r="D89" t="s">
        <v>22</v>
      </c>
      <c r="E89" t="s">
        <v>26</v>
      </c>
      <c r="F89" t="s">
        <v>27</v>
      </c>
      <c r="G89">
        <v>5</v>
      </c>
      <c r="H89" s="9">
        <v>496</v>
      </c>
      <c r="I89" s="12">
        <v>0</v>
      </c>
      <c r="J89" s="9">
        <v>2480</v>
      </c>
      <c r="K89" s="9">
        <v>331.2278</v>
      </c>
      <c r="L89" s="12">
        <v>0.13355959677419399</v>
      </c>
      <c r="M89" t="s">
        <v>32</v>
      </c>
    </row>
    <row r="90" spans="1:13" x14ac:dyDescent="0.25">
      <c r="A90">
        <v>1476</v>
      </c>
      <c r="B90" s="3">
        <v>44658</v>
      </c>
      <c r="C90" t="s">
        <v>13</v>
      </c>
      <c r="D90" t="s">
        <v>22</v>
      </c>
      <c r="E90" t="s">
        <v>24</v>
      </c>
      <c r="F90" t="s">
        <v>28</v>
      </c>
      <c r="G90">
        <v>1</v>
      </c>
      <c r="H90" s="9">
        <v>27</v>
      </c>
      <c r="I90" s="12">
        <v>0</v>
      </c>
      <c r="J90" s="9">
        <v>27</v>
      </c>
      <c r="K90" s="9">
        <v>3.1002999999999998</v>
      </c>
      <c r="L90" s="12">
        <v>0.114825925925926</v>
      </c>
      <c r="M90" t="s">
        <v>33</v>
      </c>
    </row>
    <row r="91" spans="1:13" x14ac:dyDescent="0.25">
      <c r="A91">
        <v>1071</v>
      </c>
      <c r="B91" s="3">
        <v>44567</v>
      </c>
      <c r="C91" t="s">
        <v>16</v>
      </c>
      <c r="D91" t="s">
        <v>23</v>
      </c>
      <c r="E91" t="s">
        <v>24</v>
      </c>
      <c r="F91" t="s">
        <v>28</v>
      </c>
      <c r="G91">
        <v>9</v>
      </c>
      <c r="H91" s="9">
        <v>493</v>
      </c>
      <c r="I91" s="12">
        <v>0.3</v>
      </c>
      <c r="J91" s="9">
        <v>3105.9</v>
      </c>
      <c r="K91" s="9">
        <v>513.68280000000004</v>
      </c>
      <c r="L91" s="12">
        <v>0.16538935574229699</v>
      </c>
      <c r="M91" t="s">
        <v>32</v>
      </c>
    </row>
    <row r="92" spans="1:13" x14ac:dyDescent="0.25">
      <c r="A92">
        <v>1013</v>
      </c>
      <c r="B92" s="3">
        <v>44630</v>
      </c>
      <c r="C92" t="s">
        <v>16</v>
      </c>
      <c r="D92" t="s">
        <v>21</v>
      </c>
      <c r="E92" t="s">
        <v>26</v>
      </c>
      <c r="F92" t="s">
        <v>29</v>
      </c>
      <c r="G92">
        <v>4</v>
      </c>
      <c r="H92" s="9">
        <v>281</v>
      </c>
      <c r="I92" s="12">
        <v>0.3</v>
      </c>
      <c r="J92" s="9">
        <v>786.8</v>
      </c>
      <c r="K92" s="9">
        <v>103.8955</v>
      </c>
      <c r="L92" s="12">
        <v>0.13204816980172901</v>
      </c>
      <c r="M92" t="s">
        <v>32</v>
      </c>
    </row>
    <row r="93" spans="1:13" x14ac:dyDescent="0.25">
      <c r="A93">
        <v>1957</v>
      </c>
      <c r="B93" s="3">
        <v>44803</v>
      </c>
      <c r="C93" t="s">
        <v>19</v>
      </c>
      <c r="D93" t="s">
        <v>22</v>
      </c>
      <c r="E93" t="s">
        <v>25</v>
      </c>
      <c r="F93" t="s">
        <v>31</v>
      </c>
      <c r="G93">
        <v>8</v>
      </c>
      <c r="H93" s="9">
        <v>485</v>
      </c>
      <c r="I93" s="12">
        <v>0.3</v>
      </c>
      <c r="J93" s="9">
        <v>2716</v>
      </c>
      <c r="K93" s="9">
        <v>478.83539999999999</v>
      </c>
      <c r="L93" s="12">
        <v>0.176301693667158</v>
      </c>
      <c r="M93" t="s">
        <v>32</v>
      </c>
    </row>
    <row r="94" spans="1:13" x14ac:dyDescent="0.25">
      <c r="A94">
        <v>1645</v>
      </c>
      <c r="B94" s="3">
        <v>44784</v>
      </c>
      <c r="C94" t="s">
        <v>14</v>
      </c>
      <c r="D94" t="s">
        <v>22</v>
      </c>
      <c r="E94" t="s">
        <v>24</v>
      </c>
      <c r="F94" t="s">
        <v>28</v>
      </c>
      <c r="G94">
        <v>9</v>
      </c>
      <c r="H94" s="9">
        <v>270</v>
      </c>
      <c r="I94" s="12">
        <v>0.3</v>
      </c>
      <c r="J94" s="9">
        <v>1701</v>
      </c>
      <c r="K94" s="9">
        <v>152.22030000000001</v>
      </c>
      <c r="L94" s="12">
        <v>8.9488712522045905E-2</v>
      </c>
      <c r="M94" t="s">
        <v>32</v>
      </c>
    </row>
    <row r="95" spans="1:13" x14ac:dyDescent="0.25">
      <c r="A95">
        <v>1646</v>
      </c>
      <c r="B95" s="3">
        <v>44622</v>
      </c>
      <c r="C95" t="s">
        <v>13</v>
      </c>
      <c r="D95" t="s">
        <v>23</v>
      </c>
      <c r="E95" t="s">
        <v>25</v>
      </c>
      <c r="F95" t="s">
        <v>28</v>
      </c>
      <c r="G95">
        <v>6</v>
      </c>
      <c r="H95" s="9">
        <v>111</v>
      </c>
      <c r="I95" s="12">
        <v>0</v>
      </c>
      <c r="J95" s="9">
        <v>666</v>
      </c>
      <c r="K95" s="9">
        <v>43.048699999999997</v>
      </c>
      <c r="L95" s="12">
        <v>6.4637687687687698E-2</v>
      </c>
      <c r="M95" t="s">
        <v>32</v>
      </c>
    </row>
    <row r="96" spans="1:13" x14ac:dyDescent="0.25">
      <c r="A96">
        <v>1087</v>
      </c>
      <c r="B96" s="3">
        <v>44576</v>
      </c>
      <c r="C96" t="s">
        <v>16</v>
      </c>
      <c r="D96" t="s">
        <v>23</v>
      </c>
      <c r="E96" t="s">
        <v>24</v>
      </c>
      <c r="F96" t="s">
        <v>29</v>
      </c>
      <c r="G96">
        <v>2</v>
      </c>
      <c r="H96" s="9">
        <v>183</v>
      </c>
      <c r="I96" s="12">
        <v>0.2</v>
      </c>
      <c r="J96" s="9">
        <v>292.8</v>
      </c>
      <c r="K96" s="9">
        <v>55.272199999999998</v>
      </c>
      <c r="L96" s="12">
        <v>0.18877117486338801</v>
      </c>
      <c r="M96" t="s">
        <v>32</v>
      </c>
    </row>
    <row r="97" spans="1:13" x14ac:dyDescent="0.25">
      <c r="A97">
        <v>1642</v>
      </c>
      <c r="B97" s="3">
        <v>44739</v>
      </c>
      <c r="C97" t="s">
        <v>18</v>
      </c>
      <c r="D97" t="s">
        <v>20</v>
      </c>
      <c r="E97" t="s">
        <v>26</v>
      </c>
      <c r="F97" t="s">
        <v>29</v>
      </c>
      <c r="G97">
        <v>1</v>
      </c>
      <c r="H97" s="9">
        <v>244</v>
      </c>
      <c r="I97" s="12">
        <v>0</v>
      </c>
      <c r="J97" s="9">
        <v>244</v>
      </c>
      <c r="K97" s="9">
        <v>37.317700000000002</v>
      </c>
      <c r="L97" s="12">
        <v>0.152941393442623</v>
      </c>
      <c r="M97" t="s">
        <v>32</v>
      </c>
    </row>
    <row r="98" spans="1:13" x14ac:dyDescent="0.25">
      <c r="A98">
        <v>1856</v>
      </c>
      <c r="B98" s="3">
        <v>44599</v>
      </c>
      <c r="C98" t="s">
        <v>17</v>
      </c>
      <c r="D98" t="s">
        <v>23</v>
      </c>
      <c r="E98" t="s">
        <v>26</v>
      </c>
      <c r="F98" t="s">
        <v>30</v>
      </c>
      <c r="G98">
        <v>5</v>
      </c>
      <c r="H98" s="9">
        <v>484</v>
      </c>
      <c r="I98" s="12">
        <v>0.3</v>
      </c>
      <c r="J98" s="9">
        <v>1694</v>
      </c>
      <c r="K98" s="9">
        <v>335.85430000000002</v>
      </c>
      <c r="L98" s="12">
        <v>0.198261097992916</v>
      </c>
      <c r="M98" t="s">
        <v>32</v>
      </c>
    </row>
    <row r="99" spans="1:13" x14ac:dyDescent="0.25">
      <c r="A99">
        <v>1686</v>
      </c>
      <c r="B99" s="3">
        <v>44611</v>
      </c>
      <c r="C99" t="s">
        <v>16</v>
      </c>
      <c r="D99" t="s">
        <v>23</v>
      </c>
      <c r="E99" t="s">
        <v>25</v>
      </c>
      <c r="F99" t="s">
        <v>29</v>
      </c>
      <c r="G99">
        <v>8</v>
      </c>
      <c r="H99" s="9">
        <v>194</v>
      </c>
      <c r="I99" s="12">
        <v>0.3</v>
      </c>
      <c r="J99" s="9">
        <v>1086.4000000000001</v>
      </c>
      <c r="K99" s="9">
        <v>71.934200000000004</v>
      </c>
      <c r="L99" s="12">
        <v>6.6213365243004405E-2</v>
      </c>
      <c r="M99" t="s">
        <v>32</v>
      </c>
    </row>
    <row r="100" spans="1:13" x14ac:dyDescent="0.25">
      <c r="A100">
        <v>1854</v>
      </c>
      <c r="B100" s="3">
        <v>44850</v>
      </c>
      <c r="C100" t="s">
        <v>17</v>
      </c>
      <c r="D100" t="s">
        <v>21</v>
      </c>
      <c r="E100" t="s">
        <v>24</v>
      </c>
      <c r="F100" t="s">
        <v>29</v>
      </c>
      <c r="G100">
        <v>7</v>
      </c>
      <c r="H100" s="9">
        <v>232</v>
      </c>
      <c r="I100" s="12">
        <v>0</v>
      </c>
      <c r="J100" s="9">
        <v>1624</v>
      </c>
      <c r="K100" s="9">
        <v>355.72809999999998</v>
      </c>
      <c r="L100" s="12">
        <v>0.219044396551724</v>
      </c>
      <c r="M100" t="s">
        <v>32</v>
      </c>
    </row>
    <row r="101" spans="1:13" x14ac:dyDescent="0.25">
      <c r="A101">
        <v>1219</v>
      </c>
      <c r="B101" s="3">
        <v>44848</v>
      </c>
      <c r="C101" t="s">
        <v>14</v>
      </c>
      <c r="D101" t="s">
        <v>22</v>
      </c>
      <c r="E101" t="s">
        <v>24</v>
      </c>
      <c r="F101" t="s">
        <v>27</v>
      </c>
      <c r="G101">
        <v>6</v>
      </c>
      <c r="H101" s="9">
        <v>324</v>
      </c>
      <c r="I101" s="12">
        <v>0</v>
      </c>
      <c r="J101" s="9">
        <v>1944</v>
      </c>
      <c r="K101" s="9">
        <v>405.3931</v>
      </c>
      <c r="L101" s="12">
        <v>0.20853554526748999</v>
      </c>
      <c r="M101" t="s">
        <v>33</v>
      </c>
    </row>
    <row r="102" spans="1:13" x14ac:dyDescent="0.25">
      <c r="A102">
        <v>1951</v>
      </c>
      <c r="B102" s="3">
        <v>44842</v>
      </c>
      <c r="C102" t="s">
        <v>19</v>
      </c>
      <c r="D102" t="s">
        <v>21</v>
      </c>
      <c r="E102" t="s">
        <v>26</v>
      </c>
      <c r="F102" t="s">
        <v>27</v>
      </c>
      <c r="G102">
        <v>9</v>
      </c>
      <c r="H102" s="9">
        <v>457</v>
      </c>
      <c r="I102" s="12">
        <v>0.1</v>
      </c>
      <c r="J102" s="9">
        <v>3701.7</v>
      </c>
      <c r="K102" s="9">
        <v>787.67330000000004</v>
      </c>
      <c r="L102" s="12">
        <v>0.21278690871761599</v>
      </c>
      <c r="M102" t="s">
        <v>32</v>
      </c>
    </row>
    <row r="103" spans="1:13" x14ac:dyDescent="0.25">
      <c r="A103">
        <v>1295</v>
      </c>
      <c r="B103" s="3">
        <v>44676</v>
      </c>
      <c r="C103" t="s">
        <v>14</v>
      </c>
      <c r="D103" t="s">
        <v>23</v>
      </c>
      <c r="E103" t="s">
        <v>26</v>
      </c>
      <c r="F103" t="s">
        <v>29</v>
      </c>
      <c r="G103">
        <v>5</v>
      </c>
      <c r="H103" s="9">
        <v>172</v>
      </c>
      <c r="I103" s="12">
        <v>0.3</v>
      </c>
      <c r="J103" s="9">
        <v>602</v>
      </c>
      <c r="K103" s="9">
        <v>143.18199999999999</v>
      </c>
      <c r="L103" s="12">
        <v>0.237843853820598</v>
      </c>
      <c r="M103" t="s">
        <v>32</v>
      </c>
    </row>
    <row r="104" spans="1:13" x14ac:dyDescent="0.25">
      <c r="A104">
        <v>1870</v>
      </c>
      <c r="B104" s="3">
        <v>44746</v>
      </c>
      <c r="C104" t="s">
        <v>17</v>
      </c>
      <c r="D104" t="s">
        <v>22</v>
      </c>
      <c r="E104" t="s">
        <v>26</v>
      </c>
      <c r="F104" t="s">
        <v>31</v>
      </c>
      <c r="G104">
        <v>7</v>
      </c>
      <c r="H104" s="9">
        <v>135</v>
      </c>
      <c r="I104" s="12">
        <v>0</v>
      </c>
      <c r="J104" s="9">
        <v>945</v>
      </c>
      <c r="K104" s="9">
        <v>59.524700000000003</v>
      </c>
      <c r="L104" s="12">
        <v>6.2989100529100506E-2</v>
      </c>
      <c r="M104" t="s">
        <v>32</v>
      </c>
    </row>
    <row r="105" spans="1:13" x14ac:dyDescent="0.25">
      <c r="A105">
        <v>1106</v>
      </c>
      <c r="B105" s="3">
        <v>44566</v>
      </c>
      <c r="C105" t="s">
        <v>16</v>
      </c>
      <c r="D105" t="s">
        <v>20</v>
      </c>
      <c r="E105" t="s">
        <v>24</v>
      </c>
      <c r="F105" t="s">
        <v>27</v>
      </c>
      <c r="G105">
        <v>1</v>
      </c>
      <c r="H105" s="9">
        <v>41</v>
      </c>
      <c r="I105" s="12">
        <v>0</v>
      </c>
      <c r="J105" s="9">
        <v>41</v>
      </c>
      <c r="K105" s="9">
        <v>3.6907000000000001</v>
      </c>
      <c r="L105" s="12">
        <v>9.0017073170731696E-2</v>
      </c>
      <c r="M105" t="s">
        <v>32</v>
      </c>
    </row>
    <row r="106" spans="1:13" x14ac:dyDescent="0.25">
      <c r="A106">
        <v>1592</v>
      </c>
      <c r="B106" s="3">
        <v>44705</v>
      </c>
      <c r="C106" t="s">
        <v>13</v>
      </c>
      <c r="D106" t="s">
        <v>21</v>
      </c>
      <c r="E106" t="s">
        <v>26</v>
      </c>
      <c r="F106" t="s">
        <v>28</v>
      </c>
      <c r="G106">
        <v>6</v>
      </c>
      <c r="H106" s="9">
        <v>385</v>
      </c>
      <c r="I106" s="12">
        <v>0</v>
      </c>
      <c r="J106" s="9">
        <v>2310</v>
      </c>
      <c r="K106" s="9">
        <v>145.6789</v>
      </c>
      <c r="L106" s="12">
        <v>6.3064458874458898E-2</v>
      </c>
      <c r="M106" t="s">
        <v>32</v>
      </c>
    </row>
    <row r="107" spans="1:13" x14ac:dyDescent="0.25">
      <c r="A107">
        <v>1829</v>
      </c>
      <c r="B107" s="3">
        <v>44830</v>
      </c>
      <c r="C107" t="s">
        <v>13</v>
      </c>
      <c r="D107" t="s">
        <v>21</v>
      </c>
      <c r="E107" t="s">
        <v>26</v>
      </c>
      <c r="F107" t="s">
        <v>28</v>
      </c>
      <c r="G107">
        <v>5</v>
      </c>
      <c r="H107" s="9">
        <v>56</v>
      </c>
      <c r="I107" s="12">
        <v>0</v>
      </c>
      <c r="J107" s="9">
        <v>280</v>
      </c>
      <c r="K107" s="9">
        <v>48.594900000000003</v>
      </c>
      <c r="L107" s="12">
        <v>0.17355321428571399</v>
      </c>
      <c r="M107" t="s">
        <v>32</v>
      </c>
    </row>
    <row r="108" spans="1:13" x14ac:dyDescent="0.25">
      <c r="A108">
        <v>1995</v>
      </c>
      <c r="B108" s="3">
        <v>44666</v>
      </c>
      <c r="C108" t="s">
        <v>15</v>
      </c>
      <c r="D108" t="s">
        <v>23</v>
      </c>
      <c r="E108" t="s">
        <v>26</v>
      </c>
      <c r="F108" t="s">
        <v>29</v>
      </c>
      <c r="G108">
        <v>6</v>
      </c>
      <c r="H108" s="9">
        <v>467</v>
      </c>
      <c r="I108" s="12">
        <v>0.2</v>
      </c>
      <c r="J108" s="9">
        <v>2241.6</v>
      </c>
      <c r="K108" s="9">
        <v>186.88220000000001</v>
      </c>
      <c r="L108" s="12">
        <v>8.33700035688794E-2</v>
      </c>
      <c r="M108" t="s">
        <v>32</v>
      </c>
    </row>
    <row r="109" spans="1:13" x14ac:dyDescent="0.25">
      <c r="A109">
        <v>1671</v>
      </c>
      <c r="B109" s="3">
        <v>44824</v>
      </c>
      <c r="C109" t="s">
        <v>18</v>
      </c>
      <c r="D109" t="s">
        <v>23</v>
      </c>
      <c r="E109" t="s">
        <v>24</v>
      </c>
      <c r="F109" t="s">
        <v>27</v>
      </c>
      <c r="G109">
        <v>9</v>
      </c>
      <c r="H109" s="9">
        <v>319</v>
      </c>
      <c r="I109" s="12">
        <v>0.3</v>
      </c>
      <c r="J109" s="9">
        <v>2009.7</v>
      </c>
      <c r="K109" s="9">
        <v>457.32870000000003</v>
      </c>
      <c r="L109" s="12">
        <v>0.22756068069861199</v>
      </c>
      <c r="M109" t="s">
        <v>32</v>
      </c>
    </row>
    <row r="110" spans="1:13" x14ac:dyDescent="0.25">
      <c r="A110">
        <v>1460</v>
      </c>
      <c r="B110" s="3">
        <v>44754</v>
      </c>
      <c r="C110" t="s">
        <v>19</v>
      </c>
      <c r="D110" t="s">
        <v>21</v>
      </c>
      <c r="E110" t="s">
        <v>24</v>
      </c>
      <c r="F110" t="s">
        <v>31</v>
      </c>
      <c r="G110">
        <v>8</v>
      </c>
      <c r="H110" s="9">
        <v>193</v>
      </c>
      <c r="I110" s="12">
        <v>0</v>
      </c>
      <c r="J110" s="9">
        <v>1544</v>
      </c>
      <c r="K110" s="9">
        <v>156.2842</v>
      </c>
      <c r="L110" s="12">
        <v>0.10122033678756499</v>
      </c>
      <c r="M110" t="s">
        <v>32</v>
      </c>
    </row>
    <row r="111" spans="1:13" x14ac:dyDescent="0.25">
      <c r="A111">
        <v>1098</v>
      </c>
      <c r="B111" s="3">
        <v>44728</v>
      </c>
      <c r="C111" t="s">
        <v>18</v>
      </c>
      <c r="D111" t="s">
        <v>23</v>
      </c>
      <c r="E111" t="s">
        <v>26</v>
      </c>
      <c r="F111" t="s">
        <v>27</v>
      </c>
      <c r="G111">
        <v>1</v>
      </c>
      <c r="H111" s="9">
        <v>329</v>
      </c>
      <c r="I111" s="12">
        <v>0</v>
      </c>
      <c r="J111" s="9">
        <v>329</v>
      </c>
      <c r="K111" s="9">
        <v>22.015699999999999</v>
      </c>
      <c r="L111" s="12">
        <v>6.6917021276595698E-2</v>
      </c>
      <c r="M111" t="s">
        <v>33</v>
      </c>
    </row>
    <row r="112" spans="1:13" x14ac:dyDescent="0.25">
      <c r="A112">
        <v>1818</v>
      </c>
      <c r="B112" s="3">
        <v>44621</v>
      </c>
      <c r="C112" t="s">
        <v>14</v>
      </c>
      <c r="D112" t="s">
        <v>21</v>
      </c>
      <c r="E112" t="s">
        <v>25</v>
      </c>
      <c r="F112" t="s">
        <v>31</v>
      </c>
      <c r="G112">
        <v>6</v>
      </c>
      <c r="H112" s="9">
        <v>459</v>
      </c>
      <c r="I112" s="12">
        <v>0</v>
      </c>
      <c r="J112" s="9">
        <v>2754</v>
      </c>
      <c r="K112" s="9">
        <v>190.75460000000001</v>
      </c>
      <c r="L112" s="12">
        <v>6.9264560639070397E-2</v>
      </c>
      <c r="M112" t="s">
        <v>32</v>
      </c>
    </row>
    <row r="113" spans="1:13" x14ac:dyDescent="0.25">
      <c r="A113">
        <v>1698</v>
      </c>
      <c r="B113" s="3">
        <v>44844</v>
      </c>
      <c r="C113" t="s">
        <v>19</v>
      </c>
      <c r="D113" t="s">
        <v>23</v>
      </c>
      <c r="E113" t="s">
        <v>26</v>
      </c>
      <c r="F113" t="s">
        <v>30</v>
      </c>
      <c r="G113">
        <v>8</v>
      </c>
      <c r="H113" s="9">
        <v>226</v>
      </c>
      <c r="I113" s="12">
        <v>0.1</v>
      </c>
      <c r="J113" s="9">
        <v>1627.2</v>
      </c>
      <c r="K113" s="9">
        <v>224.70609999999999</v>
      </c>
      <c r="L113" s="12">
        <v>0.13809371927236999</v>
      </c>
      <c r="M113" t="s">
        <v>32</v>
      </c>
    </row>
    <row r="114" spans="1:13" x14ac:dyDescent="0.25">
      <c r="A114">
        <v>1288</v>
      </c>
      <c r="B114" s="3">
        <v>44709</v>
      </c>
      <c r="C114" t="s">
        <v>15</v>
      </c>
      <c r="D114" t="s">
        <v>21</v>
      </c>
      <c r="E114" t="s">
        <v>26</v>
      </c>
      <c r="F114" t="s">
        <v>27</v>
      </c>
      <c r="G114">
        <v>2</v>
      </c>
      <c r="H114" s="9">
        <v>30</v>
      </c>
      <c r="I114" s="12">
        <v>0.1</v>
      </c>
      <c r="J114" s="9">
        <v>54</v>
      </c>
      <c r="K114" s="9">
        <v>15.9475</v>
      </c>
      <c r="L114" s="12">
        <v>0.29532407407407402</v>
      </c>
      <c r="M114" t="s">
        <v>32</v>
      </c>
    </row>
    <row r="115" spans="1:13" x14ac:dyDescent="0.25">
      <c r="A115">
        <v>1742</v>
      </c>
      <c r="B115" s="3">
        <v>44758</v>
      </c>
      <c r="C115" t="s">
        <v>15</v>
      </c>
      <c r="D115" t="s">
        <v>21</v>
      </c>
      <c r="E115" t="s">
        <v>24</v>
      </c>
      <c r="F115" t="s">
        <v>28</v>
      </c>
      <c r="G115">
        <v>3</v>
      </c>
      <c r="H115" s="9">
        <v>394</v>
      </c>
      <c r="I115" s="12">
        <v>0.1</v>
      </c>
      <c r="J115" s="9">
        <v>1063.8</v>
      </c>
      <c r="K115" s="9">
        <v>116.6979</v>
      </c>
      <c r="L115" s="12">
        <v>0.10969909757473199</v>
      </c>
      <c r="M115" t="s">
        <v>32</v>
      </c>
    </row>
    <row r="116" spans="1:13" x14ac:dyDescent="0.25">
      <c r="A116">
        <v>1562</v>
      </c>
      <c r="B116" s="3">
        <v>44613</v>
      </c>
      <c r="C116" t="s">
        <v>13</v>
      </c>
      <c r="D116" t="s">
        <v>20</v>
      </c>
      <c r="E116" t="s">
        <v>24</v>
      </c>
      <c r="F116" t="s">
        <v>27</v>
      </c>
      <c r="G116">
        <v>1</v>
      </c>
      <c r="H116" s="9">
        <v>103</v>
      </c>
      <c r="I116" s="12">
        <v>0</v>
      </c>
      <c r="J116" s="9">
        <v>103</v>
      </c>
      <c r="K116" s="9">
        <v>19.6082</v>
      </c>
      <c r="L116" s="12">
        <v>0.19037087378640799</v>
      </c>
      <c r="M116" t="s">
        <v>32</v>
      </c>
    </row>
    <row r="117" spans="1:13" x14ac:dyDescent="0.25">
      <c r="A117">
        <v>1258</v>
      </c>
      <c r="B117" s="3">
        <v>44808</v>
      </c>
      <c r="C117" t="s">
        <v>17</v>
      </c>
      <c r="D117" t="s">
        <v>20</v>
      </c>
      <c r="E117" t="s">
        <v>26</v>
      </c>
      <c r="F117" t="s">
        <v>30</v>
      </c>
      <c r="G117">
        <v>5</v>
      </c>
      <c r="H117" s="9">
        <v>44</v>
      </c>
      <c r="I117" s="12">
        <v>0.1</v>
      </c>
      <c r="J117" s="9">
        <v>198</v>
      </c>
      <c r="K117" s="9">
        <v>41.316200000000002</v>
      </c>
      <c r="L117" s="12">
        <v>0.208667676767677</v>
      </c>
      <c r="M117" t="s">
        <v>33</v>
      </c>
    </row>
    <row r="118" spans="1:13" x14ac:dyDescent="0.25">
      <c r="A118">
        <v>1556</v>
      </c>
      <c r="B118" s="3">
        <v>44781</v>
      </c>
      <c r="C118" t="s">
        <v>14</v>
      </c>
      <c r="D118" t="s">
        <v>23</v>
      </c>
      <c r="E118" t="s">
        <v>24</v>
      </c>
      <c r="F118" t="s">
        <v>31</v>
      </c>
      <c r="G118">
        <v>3</v>
      </c>
      <c r="H118" s="9">
        <v>103</v>
      </c>
      <c r="I118" s="12">
        <v>0.3</v>
      </c>
      <c r="J118" s="9">
        <v>216.3</v>
      </c>
      <c r="K118" s="9">
        <v>32.2271</v>
      </c>
      <c r="L118" s="12">
        <v>0.14899260286638899</v>
      </c>
      <c r="M118" t="s">
        <v>33</v>
      </c>
    </row>
    <row r="119" spans="1:13" x14ac:dyDescent="0.25">
      <c r="A119">
        <v>1112</v>
      </c>
      <c r="B119" s="3">
        <v>44845</v>
      </c>
      <c r="C119" t="s">
        <v>17</v>
      </c>
      <c r="D119" t="s">
        <v>21</v>
      </c>
      <c r="E119" t="s">
        <v>24</v>
      </c>
      <c r="F119" t="s">
        <v>30</v>
      </c>
      <c r="G119">
        <v>2</v>
      </c>
      <c r="H119" s="9">
        <v>372</v>
      </c>
      <c r="I119" s="12">
        <v>0.2</v>
      </c>
      <c r="J119" s="9">
        <v>595.20000000000005</v>
      </c>
      <c r="K119" s="9">
        <v>154.9674</v>
      </c>
      <c r="L119" s="12">
        <v>0.26036189516128999</v>
      </c>
      <c r="M119" t="s">
        <v>32</v>
      </c>
    </row>
    <row r="120" spans="1:13" x14ac:dyDescent="0.25">
      <c r="A120">
        <v>1129</v>
      </c>
      <c r="B120" s="3">
        <v>44857</v>
      </c>
      <c r="C120" t="s">
        <v>15</v>
      </c>
      <c r="D120" t="s">
        <v>22</v>
      </c>
      <c r="E120" t="s">
        <v>25</v>
      </c>
      <c r="F120" t="s">
        <v>30</v>
      </c>
      <c r="G120">
        <v>4</v>
      </c>
      <c r="H120" s="9">
        <v>23</v>
      </c>
      <c r="I120" s="12">
        <v>0</v>
      </c>
      <c r="J120" s="9">
        <v>92</v>
      </c>
      <c r="K120" s="9">
        <v>23.851900000000001</v>
      </c>
      <c r="L120" s="12">
        <v>0.25925978260869598</v>
      </c>
      <c r="M120" t="s">
        <v>32</v>
      </c>
    </row>
    <row r="121" spans="1:13" x14ac:dyDescent="0.25">
      <c r="A121">
        <v>1735</v>
      </c>
      <c r="B121" s="3">
        <v>44852</v>
      </c>
      <c r="C121" t="s">
        <v>13</v>
      </c>
      <c r="D121" t="s">
        <v>22</v>
      </c>
      <c r="E121" t="s">
        <v>24</v>
      </c>
      <c r="F121" t="s">
        <v>30</v>
      </c>
      <c r="G121">
        <v>2</v>
      </c>
      <c r="H121" s="9">
        <v>461</v>
      </c>
      <c r="I121" s="12">
        <v>0.2</v>
      </c>
      <c r="J121" s="9">
        <v>737.6</v>
      </c>
      <c r="K121" s="9">
        <v>163.43870000000001</v>
      </c>
      <c r="L121" s="12">
        <v>0.221581751626898</v>
      </c>
      <c r="M121" t="s">
        <v>32</v>
      </c>
    </row>
    <row r="122" spans="1:13" x14ac:dyDescent="0.25">
      <c r="A122">
        <v>1729</v>
      </c>
      <c r="B122" s="3">
        <v>44860</v>
      </c>
      <c r="C122" t="s">
        <v>13</v>
      </c>
      <c r="D122" t="s">
        <v>20</v>
      </c>
      <c r="E122" t="s">
        <v>26</v>
      </c>
      <c r="F122" t="s">
        <v>30</v>
      </c>
      <c r="G122">
        <v>1</v>
      </c>
      <c r="H122" s="9">
        <v>401</v>
      </c>
      <c r="I122" s="12">
        <v>0.3</v>
      </c>
      <c r="J122" s="9">
        <v>280.7</v>
      </c>
      <c r="K122" s="9">
        <v>62.747</v>
      </c>
      <c r="L122" s="12">
        <v>0.223537584609904</v>
      </c>
      <c r="M122" t="s">
        <v>32</v>
      </c>
    </row>
    <row r="123" spans="1:13" x14ac:dyDescent="0.25">
      <c r="A123">
        <v>1771</v>
      </c>
      <c r="B123" s="3">
        <v>44656</v>
      </c>
      <c r="C123" t="s">
        <v>13</v>
      </c>
      <c r="D123" t="s">
        <v>20</v>
      </c>
      <c r="E123" t="s">
        <v>24</v>
      </c>
      <c r="F123" t="s">
        <v>27</v>
      </c>
      <c r="G123">
        <v>9</v>
      </c>
      <c r="H123" s="9">
        <v>112</v>
      </c>
      <c r="I123" s="12">
        <v>0.2</v>
      </c>
      <c r="J123" s="9">
        <v>806.4</v>
      </c>
      <c r="K123" s="9">
        <v>100.5431</v>
      </c>
      <c r="L123" s="12">
        <v>0.12468142361111099</v>
      </c>
      <c r="M123" t="s">
        <v>32</v>
      </c>
    </row>
    <row r="124" spans="1:13" x14ac:dyDescent="0.25">
      <c r="A124">
        <v>1032</v>
      </c>
      <c r="B124" s="3">
        <v>44721</v>
      </c>
      <c r="C124" t="s">
        <v>15</v>
      </c>
      <c r="D124" t="s">
        <v>22</v>
      </c>
      <c r="E124" t="s">
        <v>25</v>
      </c>
      <c r="F124" t="s">
        <v>29</v>
      </c>
      <c r="G124">
        <v>8</v>
      </c>
      <c r="H124" s="9">
        <v>420</v>
      </c>
      <c r="I124" s="12">
        <v>0.3</v>
      </c>
      <c r="J124" s="9">
        <v>2352</v>
      </c>
      <c r="K124" s="9">
        <v>265.16840000000002</v>
      </c>
      <c r="L124" s="12">
        <v>0.112741666666667</v>
      </c>
      <c r="M124" t="s">
        <v>32</v>
      </c>
    </row>
    <row r="125" spans="1:13" x14ac:dyDescent="0.25">
      <c r="A125">
        <v>1315</v>
      </c>
      <c r="B125" s="3">
        <v>44629</v>
      </c>
      <c r="C125" t="s">
        <v>16</v>
      </c>
      <c r="D125" t="s">
        <v>23</v>
      </c>
      <c r="E125" t="s">
        <v>25</v>
      </c>
      <c r="F125" t="s">
        <v>31</v>
      </c>
      <c r="G125">
        <v>3</v>
      </c>
      <c r="H125" s="9">
        <v>103</v>
      </c>
      <c r="I125" s="12">
        <v>0.3</v>
      </c>
      <c r="J125" s="9">
        <v>216.3</v>
      </c>
      <c r="K125" s="9">
        <v>18.788499999999999</v>
      </c>
      <c r="L125" s="12">
        <v>8.6863153028201606E-2</v>
      </c>
      <c r="M125" t="s">
        <v>32</v>
      </c>
    </row>
    <row r="126" spans="1:13" x14ac:dyDescent="0.25">
      <c r="A126">
        <v>1637</v>
      </c>
      <c r="B126" s="3">
        <v>44856</v>
      </c>
      <c r="C126" t="s">
        <v>14</v>
      </c>
      <c r="D126" t="s">
        <v>22</v>
      </c>
      <c r="E126" t="s">
        <v>25</v>
      </c>
      <c r="F126" t="s">
        <v>27</v>
      </c>
      <c r="G126">
        <v>4</v>
      </c>
      <c r="H126" s="9">
        <v>312</v>
      </c>
      <c r="I126" s="12">
        <v>0</v>
      </c>
      <c r="J126" s="9">
        <v>1248</v>
      </c>
      <c r="K126" s="9">
        <v>133.28</v>
      </c>
      <c r="L126" s="12">
        <v>0.106794871794872</v>
      </c>
      <c r="M126" t="s">
        <v>32</v>
      </c>
    </row>
    <row r="127" spans="1:13" x14ac:dyDescent="0.25">
      <c r="A127">
        <v>1345</v>
      </c>
      <c r="B127" s="3">
        <v>44633</v>
      </c>
      <c r="C127" t="s">
        <v>14</v>
      </c>
      <c r="D127" t="s">
        <v>22</v>
      </c>
      <c r="E127" t="s">
        <v>26</v>
      </c>
      <c r="F127" t="s">
        <v>31</v>
      </c>
      <c r="G127">
        <v>9</v>
      </c>
      <c r="H127" s="9">
        <v>472</v>
      </c>
      <c r="I127" s="12">
        <v>0</v>
      </c>
      <c r="J127" s="9">
        <v>4248</v>
      </c>
      <c r="K127" s="9">
        <v>446.68990000000002</v>
      </c>
      <c r="L127" s="12">
        <v>0.105152989642185</v>
      </c>
      <c r="M127" t="s">
        <v>32</v>
      </c>
    </row>
    <row r="128" spans="1:13" x14ac:dyDescent="0.25">
      <c r="A128">
        <v>1112</v>
      </c>
      <c r="B128" s="3">
        <v>44839</v>
      </c>
      <c r="C128" t="s">
        <v>14</v>
      </c>
      <c r="D128" t="s">
        <v>21</v>
      </c>
      <c r="E128" t="s">
        <v>26</v>
      </c>
      <c r="F128" t="s">
        <v>30</v>
      </c>
      <c r="G128">
        <v>7</v>
      </c>
      <c r="H128" s="9">
        <v>54</v>
      </c>
      <c r="I128" s="12">
        <v>0.2</v>
      </c>
      <c r="J128" s="9">
        <v>302.39999999999998</v>
      </c>
      <c r="K128" s="9">
        <v>41.424399999999999</v>
      </c>
      <c r="L128" s="12">
        <v>0.13698544973544999</v>
      </c>
      <c r="M128" t="s">
        <v>32</v>
      </c>
    </row>
    <row r="129" spans="1:13" x14ac:dyDescent="0.25">
      <c r="A129">
        <v>1366</v>
      </c>
      <c r="B129" s="3">
        <v>44638</v>
      </c>
      <c r="C129" t="s">
        <v>13</v>
      </c>
      <c r="D129" t="s">
        <v>20</v>
      </c>
      <c r="E129" t="s">
        <v>24</v>
      </c>
      <c r="F129" t="s">
        <v>29</v>
      </c>
      <c r="G129">
        <v>8</v>
      </c>
      <c r="H129" s="9">
        <v>441</v>
      </c>
      <c r="I129" s="12">
        <v>0</v>
      </c>
      <c r="J129" s="9">
        <v>3528</v>
      </c>
      <c r="K129" s="9">
        <v>743.14250000000004</v>
      </c>
      <c r="L129" s="12">
        <v>0.21064129818594099</v>
      </c>
      <c r="M129" t="s">
        <v>32</v>
      </c>
    </row>
    <row r="130" spans="1:13" x14ac:dyDescent="0.25">
      <c r="A130">
        <v>1267</v>
      </c>
      <c r="B130" s="3">
        <v>44834</v>
      </c>
      <c r="C130" t="s">
        <v>18</v>
      </c>
      <c r="D130" t="s">
        <v>21</v>
      </c>
      <c r="E130" t="s">
        <v>24</v>
      </c>
      <c r="F130" t="s">
        <v>31</v>
      </c>
      <c r="G130">
        <v>5</v>
      </c>
      <c r="H130" s="9">
        <v>78</v>
      </c>
      <c r="I130" s="12">
        <v>0.1</v>
      </c>
      <c r="J130" s="9">
        <v>351</v>
      </c>
      <c r="K130" s="9">
        <v>80.029200000000003</v>
      </c>
      <c r="L130" s="12">
        <v>0.22800341880341901</v>
      </c>
      <c r="M130" t="s">
        <v>32</v>
      </c>
    </row>
    <row r="131" spans="1:13" x14ac:dyDescent="0.25">
      <c r="A131">
        <v>1996</v>
      </c>
      <c r="B131" s="3">
        <v>44851</v>
      </c>
      <c r="C131" t="s">
        <v>16</v>
      </c>
      <c r="D131" t="s">
        <v>20</v>
      </c>
      <c r="E131" t="s">
        <v>24</v>
      </c>
      <c r="F131" t="s">
        <v>28</v>
      </c>
      <c r="G131">
        <v>9</v>
      </c>
      <c r="H131" s="9">
        <v>178</v>
      </c>
      <c r="I131" s="12">
        <v>0</v>
      </c>
      <c r="J131" s="9">
        <v>1602</v>
      </c>
      <c r="K131" s="9">
        <v>210.30420000000001</v>
      </c>
      <c r="L131" s="12">
        <v>0.131276029962547</v>
      </c>
      <c r="M131" t="s">
        <v>32</v>
      </c>
    </row>
    <row r="132" spans="1:13" x14ac:dyDescent="0.25">
      <c r="A132">
        <v>1766</v>
      </c>
      <c r="B132" s="3">
        <v>44744</v>
      </c>
      <c r="C132" t="s">
        <v>16</v>
      </c>
      <c r="D132" t="s">
        <v>20</v>
      </c>
      <c r="E132" t="s">
        <v>26</v>
      </c>
      <c r="F132" t="s">
        <v>28</v>
      </c>
      <c r="G132">
        <v>5</v>
      </c>
      <c r="H132" s="9">
        <v>436</v>
      </c>
      <c r="I132" s="12">
        <v>0</v>
      </c>
      <c r="J132" s="9">
        <v>2180</v>
      </c>
      <c r="K132" s="9">
        <v>548.49</v>
      </c>
      <c r="L132" s="12">
        <v>0.25160091743119301</v>
      </c>
      <c r="M132" t="s">
        <v>33</v>
      </c>
    </row>
    <row r="133" spans="1:13" x14ac:dyDescent="0.25">
      <c r="A133">
        <v>1491</v>
      </c>
      <c r="B133" s="3">
        <v>44586</v>
      </c>
      <c r="C133" t="s">
        <v>13</v>
      </c>
      <c r="D133" t="s">
        <v>23</v>
      </c>
      <c r="E133" t="s">
        <v>25</v>
      </c>
      <c r="F133" t="s">
        <v>30</v>
      </c>
      <c r="G133">
        <v>1</v>
      </c>
      <c r="H133" s="9">
        <v>153</v>
      </c>
      <c r="I133" s="12">
        <v>0.2</v>
      </c>
      <c r="J133" s="9">
        <v>122.4</v>
      </c>
      <c r="K133" s="9">
        <v>28.939499999999999</v>
      </c>
      <c r="L133" s="12">
        <v>0.236433823529412</v>
      </c>
      <c r="M133" t="s">
        <v>33</v>
      </c>
    </row>
    <row r="134" spans="1:13" x14ac:dyDescent="0.25">
      <c r="A134">
        <v>1413</v>
      </c>
      <c r="B134" s="3">
        <v>44587</v>
      </c>
      <c r="C134" t="s">
        <v>16</v>
      </c>
      <c r="D134" t="s">
        <v>20</v>
      </c>
      <c r="E134" t="s">
        <v>26</v>
      </c>
      <c r="F134" t="s">
        <v>29</v>
      </c>
      <c r="G134">
        <v>5</v>
      </c>
      <c r="H134" s="9">
        <v>386</v>
      </c>
      <c r="I134" s="12">
        <v>0.1</v>
      </c>
      <c r="J134" s="9">
        <v>1737</v>
      </c>
      <c r="K134" s="9">
        <v>174.77719999999999</v>
      </c>
      <c r="L134" s="12">
        <v>0.100620149683362</v>
      </c>
      <c r="M134" t="s">
        <v>32</v>
      </c>
    </row>
    <row r="135" spans="1:13" x14ac:dyDescent="0.25">
      <c r="A135">
        <v>1269</v>
      </c>
      <c r="B135" s="3">
        <v>44667</v>
      </c>
      <c r="C135" t="s">
        <v>13</v>
      </c>
      <c r="D135" t="s">
        <v>20</v>
      </c>
      <c r="E135" t="s">
        <v>24</v>
      </c>
      <c r="F135" t="s">
        <v>31</v>
      </c>
      <c r="G135">
        <v>6</v>
      </c>
      <c r="H135" s="9">
        <v>447</v>
      </c>
      <c r="I135" s="12">
        <v>0.2</v>
      </c>
      <c r="J135" s="9">
        <v>2145.6</v>
      </c>
      <c r="K135" s="9">
        <v>150.5147</v>
      </c>
      <c r="L135" s="12">
        <v>7.0150400820283398E-2</v>
      </c>
      <c r="M135" t="s">
        <v>32</v>
      </c>
    </row>
    <row r="136" spans="1:13" x14ac:dyDescent="0.25">
      <c r="A136">
        <v>1288</v>
      </c>
      <c r="B136" s="3">
        <v>44709</v>
      </c>
      <c r="C136" t="s">
        <v>15</v>
      </c>
      <c r="D136" t="s">
        <v>21</v>
      </c>
      <c r="E136" t="s">
        <v>26</v>
      </c>
      <c r="F136" t="s">
        <v>27</v>
      </c>
      <c r="G136">
        <v>2</v>
      </c>
      <c r="H136" s="9">
        <v>30</v>
      </c>
      <c r="I136" s="12">
        <v>0.1</v>
      </c>
      <c r="J136" s="9">
        <v>54</v>
      </c>
      <c r="K136" s="9">
        <v>15.9475</v>
      </c>
      <c r="L136" s="12">
        <v>0.29532407407407402</v>
      </c>
      <c r="M136" t="s">
        <v>32</v>
      </c>
    </row>
    <row r="137" spans="1:13" x14ac:dyDescent="0.25">
      <c r="A137">
        <v>1134</v>
      </c>
      <c r="B137" s="3">
        <v>44716</v>
      </c>
      <c r="C137" t="s">
        <v>13</v>
      </c>
      <c r="D137" t="s">
        <v>22</v>
      </c>
      <c r="E137" t="s">
        <v>24</v>
      </c>
      <c r="F137" t="s">
        <v>28</v>
      </c>
      <c r="G137">
        <v>7</v>
      </c>
      <c r="H137" s="9">
        <v>286</v>
      </c>
      <c r="I137" s="12">
        <v>0</v>
      </c>
      <c r="J137" s="9">
        <v>2002</v>
      </c>
      <c r="K137" s="9">
        <v>404.66789999999997</v>
      </c>
      <c r="L137" s="12">
        <v>0.202131818181818</v>
      </c>
      <c r="M137" t="s">
        <v>32</v>
      </c>
    </row>
    <row r="138" spans="1:13" x14ac:dyDescent="0.25">
      <c r="A138">
        <v>1863</v>
      </c>
      <c r="B138" s="3">
        <v>44757</v>
      </c>
      <c r="C138" t="s">
        <v>17</v>
      </c>
      <c r="D138" t="s">
        <v>23</v>
      </c>
      <c r="E138" t="s">
        <v>26</v>
      </c>
      <c r="F138" t="s">
        <v>31</v>
      </c>
      <c r="G138">
        <v>5</v>
      </c>
      <c r="H138" s="9">
        <v>125</v>
      </c>
      <c r="I138" s="12">
        <v>0.1</v>
      </c>
      <c r="J138" s="9">
        <v>562.5</v>
      </c>
      <c r="K138" s="9">
        <v>150.55009999999999</v>
      </c>
      <c r="L138" s="12">
        <v>0.26764462222222202</v>
      </c>
      <c r="M138" t="s">
        <v>32</v>
      </c>
    </row>
    <row r="139" spans="1:13" x14ac:dyDescent="0.25">
      <c r="A139">
        <v>1308</v>
      </c>
      <c r="B139" s="3">
        <v>44583</v>
      </c>
      <c r="C139" t="s">
        <v>19</v>
      </c>
      <c r="D139" t="s">
        <v>20</v>
      </c>
      <c r="E139" t="s">
        <v>26</v>
      </c>
      <c r="F139" t="s">
        <v>28</v>
      </c>
      <c r="G139">
        <v>9</v>
      </c>
      <c r="H139" s="9">
        <v>48</v>
      </c>
      <c r="I139" s="12">
        <v>0.1</v>
      </c>
      <c r="J139" s="9">
        <v>388.8</v>
      </c>
      <c r="K139" s="9">
        <v>19.9483</v>
      </c>
      <c r="L139" s="12">
        <v>5.1307355967078201E-2</v>
      </c>
      <c r="M139" t="s">
        <v>32</v>
      </c>
    </row>
    <row r="140" spans="1:13" x14ac:dyDescent="0.25">
      <c r="A140">
        <v>1339</v>
      </c>
      <c r="B140" s="3">
        <v>44789</v>
      </c>
      <c r="C140" t="s">
        <v>17</v>
      </c>
      <c r="D140" t="s">
        <v>20</v>
      </c>
      <c r="E140" t="s">
        <v>25</v>
      </c>
      <c r="F140" t="s">
        <v>28</v>
      </c>
      <c r="G140">
        <v>9</v>
      </c>
      <c r="H140" s="9">
        <v>227</v>
      </c>
      <c r="I140" s="12">
        <v>0</v>
      </c>
      <c r="J140" s="9">
        <v>2043</v>
      </c>
      <c r="K140" s="9">
        <v>564.96270000000004</v>
      </c>
      <c r="L140" s="12">
        <v>0.27653582966226098</v>
      </c>
      <c r="M140" t="s">
        <v>32</v>
      </c>
    </row>
    <row r="141" spans="1:13" x14ac:dyDescent="0.25">
      <c r="A141">
        <v>1160</v>
      </c>
      <c r="B141" s="3">
        <v>44593</v>
      </c>
      <c r="C141" t="s">
        <v>16</v>
      </c>
      <c r="D141" t="s">
        <v>20</v>
      </c>
      <c r="E141" t="s">
        <v>26</v>
      </c>
      <c r="F141" t="s">
        <v>28</v>
      </c>
      <c r="G141">
        <v>5</v>
      </c>
      <c r="H141" s="9">
        <v>490</v>
      </c>
      <c r="I141" s="12">
        <v>0</v>
      </c>
      <c r="J141" s="9">
        <v>2450</v>
      </c>
      <c r="K141" s="9">
        <v>659.44860000000006</v>
      </c>
      <c r="L141" s="12">
        <v>0.26916269387755098</v>
      </c>
      <c r="M141" t="s">
        <v>32</v>
      </c>
    </row>
    <row r="142" spans="1:13" x14ac:dyDescent="0.25">
      <c r="A142">
        <v>1779</v>
      </c>
      <c r="B142" s="3">
        <v>44719</v>
      </c>
      <c r="C142" t="s">
        <v>19</v>
      </c>
      <c r="D142" t="s">
        <v>22</v>
      </c>
      <c r="E142" t="s">
        <v>25</v>
      </c>
      <c r="F142" t="s">
        <v>28</v>
      </c>
      <c r="G142">
        <v>5</v>
      </c>
      <c r="H142" s="9">
        <v>107</v>
      </c>
      <c r="I142" s="12">
        <v>0</v>
      </c>
      <c r="J142" s="9">
        <v>535</v>
      </c>
      <c r="K142" s="9">
        <v>46.979300000000002</v>
      </c>
      <c r="L142" s="12">
        <v>8.7811775700934597E-2</v>
      </c>
      <c r="M142" t="s">
        <v>32</v>
      </c>
    </row>
    <row r="143" spans="1:13" x14ac:dyDescent="0.25">
      <c r="A143">
        <v>1795</v>
      </c>
      <c r="B143" s="3">
        <v>44778</v>
      </c>
      <c r="C143" t="s">
        <v>17</v>
      </c>
      <c r="D143" t="s">
        <v>21</v>
      </c>
      <c r="E143" t="s">
        <v>24</v>
      </c>
      <c r="F143" t="s">
        <v>28</v>
      </c>
      <c r="G143">
        <v>1</v>
      </c>
      <c r="H143" s="9">
        <v>197</v>
      </c>
      <c r="I143" s="12">
        <v>0</v>
      </c>
      <c r="J143" s="9">
        <v>197</v>
      </c>
      <c r="K143" s="9">
        <v>38.296500000000002</v>
      </c>
      <c r="L143" s="12">
        <v>0.19439847715736</v>
      </c>
      <c r="M143" t="s">
        <v>32</v>
      </c>
    </row>
    <row r="144" spans="1:13" x14ac:dyDescent="0.25">
      <c r="A144">
        <v>1641</v>
      </c>
      <c r="B144" s="3">
        <v>44847</v>
      </c>
      <c r="C144" t="s">
        <v>19</v>
      </c>
      <c r="D144" t="s">
        <v>22</v>
      </c>
      <c r="E144" t="s">
        <v>25</v>
      </c>
      <c r="F144" t="s">
        <v>27</v>
      </c>
      <c r="G144">
        <v>3</v>
      </c>
      <c r="H144" s="9">
        <v>351</v>
      </c>
      <c r="I144" s="12">
        <v>0.1</v>
      </c>
      <c r="J144" s="9">
        <v>947.7</v>
      </c>
      <c r="K144" s="9">
        <v>279.35939999999999</v>
      </c>
      <c r="L144" s="12">
        <v>0.29477619499841701</v>
      </c>
      <c r="M144" t="s">
        <v>32</v>
      </c>
    </row>
    <row r="145" spans="1:13" x14ac:dyDescent="0.25">
      <c r="A145">
        <v>1064</v>
      </c>
      <c r="B145" s="3">
        <v>44694</v>
      </c>
      <c r="C145" t="s">
        <v>16</v>
      </c>
      <c r="D145" t="s">
        <v>20</v>
      </c>
      <c r="E145" t="s">
        <v>24</v>
      </c>
      <c r="F145" t="s">
        <v>31</v>
      </c>
      <c r="G145">
        <v>3</v>
      </c>
      <c r="H145" s="9">
        <v>91</v>
      </c>
      <c r="I145" s="12">
        <v>0</v>
      </c>
      <c r="J145" s="9">
        <v>273</v>
      </c>
      <c r="K145" s="9">
        <v>75.514399999999995</v>
      </c>
      <c r="L145" s="12">
        <v>0.27660952380952403</v>
      </c>
      <c r="M145" t="s">
        <v>32</v>
      </c>
    </row>
    <row r="146" spans="1:13" x14ac:dyDescent="0.25">
      <c r="A146">
        <v>1358</v>
      </c>
      <c r="B146" s="3">
        <v>44809</v>
      </c>
      <c r="C146" t="s">
        <v>13</v>
      </c>
      <c r="D146" t="s">
        <v>20</v>
      </c>
      <c r="E146" t="s">
        <v>25</v>
      </c>
      <c r="F146" t="s">
        <v>29</v>
      </c>
      <c r="G146">
        <v>1</v>
      </c>
      <c r="H146" s="9">
        <v>320</v>
      </c>
      <c r="I146" s="12">
        <v>0</v>
      </c>
      <c r="J146" s="9">
        <v>320</v>
      </c>
      <c r="K146" s="9">
        <v>29.276399999999999</v>
      </c>
      <c r="L146" s="12">
        <v>9.1488749999999994E-2</v>
      </c>
      <c r="M146" t="s">
        <v>32</v>
      </c>
    </row>
    <row r="147" spans="1:13" x14ac:dyDescent="0.25">
      <c r="A147">
        <v>1384</v>
      </c>
      <c r="B147" s="3">
        <v>44800</v>
      </c>
      <c r="C147" t="s">
        <v>17</v>
      </c>
      <c r="D147" t="s">
        <v>22</v>
      </c>
      <c r="E147" t="s">
        <v>25</v>
      </c>
      <c r="F147" t="s">
        <v>31</v>
      </c>
      <c r="G147">
        <v>2</v>
      </c>
      <c r="H147" s="9">
        <v>381</v>
      </c>
      <c r="I147" s="12">
        <v>0.1</v>
      </c>
      <c r="J147" s="9">
        <v>685.8</v>
      </c>
      <c r="K147" s="9">
        <v>48.599899999999998</v>
      </c>
      <c r="L147" s="12">
        <v>7.0865995917177002E-2</v>
      </c>
      <c r="M147" t="s">
        <v>32</v>
      </c>
    </row>
    <row r="148" spans="1:13" x14ac:dyDescent="0.25">
      <c r="A148">
        <v>1857</v>
      </c>
      <c r="B148" s="3">
        <v>44751</v>
      </c>
      <c r="C148" t="s">
        <v>16</v>
      </c>
      <c r="D148" t="s">
        <v>20</v>
      </c>
      <c r="E148" t="s">
        <v>24</v>
      </c>
      <c r="F148" t="s">
        <v>31</v>
      </c>
      <c r="G148">
        <v>7</v>
      </c>
      <c r="H148" s="9">
        <v>185</v>
      </c>
      <c r="I148" s="12">
        <v>0.2</v>
      </c>
      <c r="J148" s="9">
        <v>1036</v>
      </c>
      <c r="K148" s="9">
        <v>137.32570000000001</v>
      </c>
      <c r="L148" s="12">
        <v>0.13255376447876399</v>
      </c>
      <c r="M148" t="s">
        <v>32</v>
      </c>
    </row>
    <row r="149" spans="1:13" x14ac:dyDescent="0.25">
      <c r="A149">
        <v>1392</v>
      </c>
      <c r="B149" s="3">
        <v>44748</v>
      </c>
      <c r="C149" t="s">
        <v>18</v>
      </c>
      <c r="D149" t="s">
        <v>21</v>
      </c>
      <c r="E149" t="s">
        <v>26</v>
      </c>
      <c r="F149" t="s">
        <v>30</v>
      </c>
      <c r="G149">
        <v>8</v>
      </c>
      <c r="H149" s="9">
        <v>425</v>
      </c>
      <c r="I149" s="12">
        <v>0.3</v>
      </c>
      <c r="J149" s="9">
        <v>2380</v>
      </c>
      <c r="K149" s="9">
        <v>238.8115</v>
      </c>
      <c r="L149" s="12">
        <v>0.100340966386555</v>
      </c>
      <c r="M149" t="s">
        <v>32</v>
      </c>
    </row>
    <row r="150" spans="1:13" x14ac:dyDescent="0.25">
      <c r="A150">
        <v>1270</v>
      </c>
      <c r="B150" s="3">
        <v>44565</v>
      </c>
      <c r="C150" t="s">
        <v>17</v>
      </c>
      <c r="D150" t="s">
        <v>20</v>
      </c>
      <c r="E150" t="s">
        <v>25</v>
      </c>
      <c r="F150" t="s">
        <v>31</v>
      </c>
      <c r="G150">
        <v>3</v>
      </c>
      <c r="H150" s="9">
        <v>212</v>
      </c>
      <c r="I150" s="12">
        <v>0.2</v>
      </c>
      <c r="J150" s="9">
        <v>508.8</v>
      </c>
      <c r="K150" s="9">
        <v>122.2547</v>
      </c>
      <c r="L150" s="12">
        <v>0.240280463836478</v>
      </c>
      <c r="M150" t="s">
        <v>32</v>
      </c>
    </row>
    <row r="151" spans="1:13" x14ac:dyDescent="0.25">
      <c r="A151">
        <v>1216</v>
      </c>
      <c r="B151" s="3">
        <v>44685</v>
      </c>
      <c r="C151" t="s">
        <v>15</v>
      </c>
      <c r="D151" t="s">
        <v>21</v>
      </c>
      <c r="E151" t="s">
        <v>24</v>
      </c>
      <c r="F151" t="s">
        <v>29</v>
      </c>
      <c r="G151">
        <v>7</v>
      </c>
      <c r="H151" s="9">
        <v>28</v>
      </c>
      <c r="I151" s="12">
        <v>0</v>
      </c>
      <c r="J151" s="9">
        <v>196</v>
      </c>
      <c r="K151" s="9">
        <v>22.027799999999999</v>
      </c>
      <c r="L151" s="12">
        <v>0.112386734693878</v>
      </c>
      <c r="M151" t="s">
        <v>32</v>
      </c>
    </row>
    <row r="152" spans="1:13" x14ac:dyDescent="0.25">
      <c r="A152">
        <v>1742</v>
      </c>
      <c r="B152" s="3">
        <v>44758</v>
      </c>
      <c r="C152" t="s">
        <v>15</v>
      </c>
      <c r="D152" t="s">
        <v>21</v>
      </c>
      <c r="E152" t="s">
        <v>24</v>
      </c>
      <c r="F152" t="s">
        <v>28</v>
      </c>
      <c r="G152">
        <v>3</v>
      </c>
      <c r="H152" s="9">
        <v>394</v>
      </c>
      <c r="I152" s="12">
        <v>0.1</v>
      </c>
      <c r="J152" s="9">
        <v>1063.8</v>
      </c>
      <c r="K152" s="9">
        <v>116.6979</v>
      </c>
      <c r="L152" s="12">
        <v>0.10969909757473199</v>
      </c>
      <c r="M152" t="s">
        <v>32</v>
      </c>
    </row>
    <row r="153" spans="1:13" x14ac:dyDescent="0.25">
      <c r="A153">
        <v>1702</v>
      </c>
      <c r="B153" s="3">
        <v>44659</v>
      </c>
      <c r="C153" t="s">
        <v>15</v>
      </c>
      <c r="D153" t="s">
        <v>21</v>
      </c>
      <c r="E153" t="s">
        <v>24</v>
      </c>
      <c r="F153" t="s">
        <v>27</v>
      </c>
      <c r="G153">
        <v>8</v>
      </c>
      <c r="H153" s="9">
        <v>98</v>
      </c>
      <c r="I153" s="12">
        <v>0</v>
      </c>
      <c r="J153" s="9">
        <v>784</v>
      </c>
      <c r="K153" s="9">
        <v>123.4127</v>
      </c>
      <c r="L153" s="12">
        <v>0.15741415816326501</v>
      </c>
      <c r="M153" t="s">
        <v>32</v>
      </c>
    </row>
    <row r="154" spans="1:13" x14ac:dyDescent="0.25">
      <c r="A154">
        <v>1004</v>
      </c>
      <c r="B154" s="3">
        <v>44741</v>
      </c>
      <c r="C154" t="s">
        <v>15</v>
      </c>
      <c r="D154" t="s">
        <v>22</v>
      </c>
      <c r="E154" t="s">
        <v>24</v>
      </c>
      <c r="F154" t="s">
        <v>28</v>
      </c>
      <c r="G154">
        <v>8</v>
      </c>
      <c r="H154" s="9">
        <v>252</v>
      </c>
      <c r="I154" s="12">
        <v>0.3</v>
      </c>
      <c r="J154" s="9">
        <v>1411.2</v>
      </c>
      <c r="K154" s="9">
        <v>262.98840000000001</v>
      </c>
      <c r="L154" s="12">
        <v>0.186357993197279</v>
      </c>
      <c r="M154" t="s">
        <v>32</v>
      </c>
    </row>
    <row r="155" spans="1:13" x14ac:dyDescent="0.25">
      <c r="A155">
        <v>1812</v>
      </c>
      <c r="B155" s="3">
        <v>44693</v>
      </c>
      <c r="C155" t="s">
        <v>13</v>
      </c>
      <c r="D155" t="s">
        <v>21</v>
      </c>
      <c r="E155" t="s">
        <v>25</v>
      </c>
      <c r="F155" t="s">
        <v>31</v>
      </c>
      <c r="G155">
        <v>8</v>
      </c>
      <c r="H155" s="9">
        <v>363</v>
      </c>
      <c r="I155" s="12">
        <v>0.1</v>
      </c>
      <c r="J155" s="9">
        <v>2613.6</v>
      </c>
      <c r="K155" s="9">
        <v>171.61760000000001</v>
      </c>
      <c r="L155" s="12">
        <v>6.5663299663299701E-2</v>
      </c>
      <c r="M155" t="s">
        <v>33</v>
      </c>
    </row>
    <row r="156" spans="1:13" x14ac:dyDescent="0.25">
      <c r="A156">
        <v>1484</v>
      </c>
      <c r="B156" s="3">
        <v>44620</v>
      </c>
      <c r="C156" t="s">
        <v>15</v>
      </c>
      <c r="D156" t="s">
        <v>22</v>
      </c>
      <c r="E156" t="s">
        <v>26</v>
      </c>
      <c r="F156" t="s">
        <v>31</v>
      </c>
      <c r="G156">
        <v>8</v>
      </c>
      <c r="H156" s="9">
        <v>255</v>
      </c>
      <c r="I156" s="12">
        <v>0.3</v>
      </c>
      <c r="J156" s="9">
        <v>1428</v>
      </c>
      <c r="K156" s="9">
        <v>249.2773</v>
      </c>
      <c r="L156" s="12">
        <v>0.17456393557423</v>
      </c>
      <c r="M156" t="s">
        <v>32</v>
      </c>
    </row>
    <row r="157" spans="1:13" x14ac:dyDescent="0.25">
      <c r="A157">
        <v>1699</v>
      </c>
      <c r="B157" s="3">
        <v>44606</v>
      </c>
      <c r="C157" t="s">
        <v>18</v>
      </c>
      <c r="D157" t="s">
        <v>23</v>
      </c>
      <c r="E157" t="s">
        <v>25</v>
      </c>
      <c r="F157" t="s">
        <v>28</v>
      </c>
      <c r="G157">
        <v>3</v>
      </c>
      <c r="H157" s="9">
        <v>176</v>
      </c>
      <c r="I157" s="12">
        <v>0.1</v>
      </c>
      <c r="J157" s="9">
        <v>475.2</v>
      </c>
      <c r="K157" s="9">
        <v>118.11060000000001</v>
      </c>
      <c r="L157" s="12">
        <v>0.24854924242424201</v>
      </c>
      <c r="M157" t="s">
        <v>32</v>
      </c>
    </row>
    <row r="158" spans="1:13" x14ac:dyDescent="0.25">
      <c r="A158">
        <v>1957</v>
      </c>
      <c r="B158" s="3">
        <v>44791</v>
      </c>
      <c r="C158" t="s">
        <v>16</v>
      </c>
      <c r="D158" t="s">
        <v>22</v>
      </c>
      <c r="E158" t="s">
        <v>25</v>
      </c>
      <c r="F158" t="s">
        <v>30</v>
      </c>
      <c r="G158">
        <v>3</v>
      </c>
      <c r="H158" s="9">
        <v>409</v>
      </c>
      <c r="I158" s="12">
        <v>0</v>
      </c>
      <c r="J158" s="9">
        <v>1227</v>
      </c>
      <c r="K158" s="9">
        <v>363.04520000000002</v>
      </c>
      <c r="L158" s="12">
        <v>0.29588035859820699</v>
      </c>
      <c r="M158" t="s">
        <v>33</v>
      </c>
    </row>
    <row r="159" spans="1:13" x14ac:dyDescent="0.25">
      <c r="A159">
        <v>1700</v>
      </c>
      <c r="B159" s="3">
        <v>44568</v>
      </c>
      <c r="C159" t="s">
        <v>15</v>
      </c>
      <c r="D159" t="s">
        <v>21</v>
      </c>
      <c r="E159" t="s">
        <v>26</v>
      </c>
      <c r="F159" t="s">
        <v>31</v>
      </c>
      <c r="G159">
        <v>8</v>
      </c>
      <c r="H159" s="9">
        <v>139</v>
      </c>
      <c r="I159" s="12">
        <v>0.1</v>
      </c>
      <c r="J159" s="9">
        <v>1000.8</v>
      </c>
      <c r="K159" s="9">
        <v>52.3748</v>
      </c>
      <c r="L159" s="12">
        <v>5.23329336530775E-2</v>
      </c>
      <c r="M159" t="s">
        <v>32</v>
      </c>
    </row>
    <row r="160" spans="1:13" x14ac:dyDescent="0.25">
      <c r="A160">
        <v>1957</v>
      </c>
      <c r="B160" s="3">
        <v>44612</v>
      </c>
      <c r="C160" t="s">
        <v>17</v>
      </c>
      <c r="D160" t="s">
        <v>23</v>
      </c>
      <c r="E160" t="s">
        <v>26</v>
      </c>
      <c r="F160" t="s">
        <v>27</v>
      </c>
      <c r="G160">
        <v>4</v>
      </c>
      <c r="H160" s="9">
        <v>481</v>
      </c>
      <c r="I160" s="12">
        <v>0.3</v>
      </c>
      <c r="J160" s="9">
        <v>1346.8</v>
      </c>
      <c r="K160" s="9">
        <v>262.62049999999999</v>
      </c>
      <c r="L160" s="12">
        <v>0.194995916245916</v>
      </c>
      <c r="M160" t="s">
        <v>32</v>
      </c>
    </row>
    <row r="161" spans="1:13" x14ac:dyDescent="0.25">
      <c r="A161">
        <v>1565</v>
      </c>
      <c r="B161" s="3">
        <v>44849</v>
      </c>
      <c r="C161" t="s">
        <v>19</v>
      </c>
      <c r="D161" t="s">
        <v>23</v>
      </c>
      <c r="E161" t="s">
        <v>25</v>
      </c>
      <c r="F161" t="s">
        <v>29</v>
      </c>
      <c r="G161">
        <v>3</v>
      </c>
      <c r="H161" s="9">
        <v>369</v>
      </c>
      <c r="I161" s="12">
        <v>0.1</v>
      </c>
      <c r="J161" s="9">
        <v>996.3</v>
      </c>
      <c r="K161" s="9">
        <v>81.264399999999995</v>
      </c>
      <c r="L161" s="12">
        <v>8.1566194921208507E-2</v>
      </c>
      <c r="M161" t="s">
        <v>32</v>
      </c>
    </row>
    <row r="162" spans="1:13" x14ac:dyDescent="0.25">
      <c r="A162">
        <v>1957</v>
      </c>
      <c r="B162" s="3">
        <v>44791</v>
      </c>
      <c r="C162" t="s">
        <v>16</v>
      </c>
      <c r="D162" t="s">
        <v>22</v>
      </c>
      <c r="E162" t="s">
        <v>25</v>
      </c>
      <c r="F162" t="s">
        <v>30</v>
      </c>
      <c r="G162">
        <v>3</v>
      </c>
      <c r="H162" s="9">
        <v>409</v>
      </c>
      <c r="I162" s="12">
        <v>0</v>
      </c>
      <c r="J162" s="9">
        <v>1227</v>
      </c>
      <c r="K162" s="9">
        <v>363.04520000000002</v>
      </c>
      <c r="L162" s="12">
        <v>0.29588035859820699</v>
      </c>
      <c r="M162" t="s">
        <v>33</v>
      </c>
    </row>
    <row r="163" spans="1:13" x14ac:dyDescent="0.25">
      <c r="A163">
        <v>1719</v>
      </c>
      <c r="B163" s="3">
        <v>44678</v>
      </c>
      <c r="C163" t="s">
        <v>16</v>
      </c>
      <c r="D163" t="s">
        <v>21</v>
      </c>
      <c r="E163" t="s">
        <v>24</v>
      </c>
      <c r="F163" t="s">
        <v>29</v>
      </c>
      <c r="G163">
        <v>7</v>
      </c>
      <c r="H163" s="9">
        <v>225</v>
      </c>
      <c r="I163" s="12">
        <v>0.3</v>
      </c>
      <c r="J163" s="9">
        <v>1102.5</v>
      </c>
      <c r="K163" s="9">
        <v>318.7919</v>
      </c>
      <c r="L163" s="12">
        <v>0.28915365079365102</v>
      </c>
      <c r="M163" t="s">
        <v>33</v>
      </c>
    </row>
    <row r="164" spans="1:13" x14ac:dyDescent="0.25">
      <c r="A164">
        <v>1681</v>
      </c>
      <c r="B164" s="3">
        <v>44604</v>
      </c>
      <c r="C164" t="s">
        <v>15</v>
      </c>
      <c r="D164" t="s">
        <v>20</v>
      </c>
      <c r="E164" t="s">
        <v>26</v>
      </c>
      <c r="F164" t="s">
        <v>29</v>
      </c>
      <c r="G164">
        <v>6</v>
      </c>
      <c r="H164" s="9">
        <v>394</v>
      </c>
      <c r="I164" s="12">
        <v>0</v>
      </c>
      <c r="J164" s="9">
        <v>2364</v>
      </c>
      <c r="K164" s="9">
        <v>484.37729999999999</v>
      </c>
      <c r="L164" s="12">
        <v>0.20489733502538099</v>
      </c>
      <c r="M164" t="s">
        <v>32</v>
      </c>
    </row>
    <row r="165" spans="1:13" x14ac:dyDescent="0.25">
      <c r="A165">
        <v>1690</v>
      </c>
      <c r="B165" s="3">
        <v>44755</v>
      </c>
      <c r="C165" t="s">
        <v>13</v>
      </c>
      <c r="D165" t="s">
        <v>20</v>
      </c>
      <c r="E165" t="s">
        <v>26</v>
      </c>
      <c r="F165" t="s">
        <v>27</v>
      </c>
      <c r="G165">
        <v>4</v>
      </c>
      <c r="H165" s="9">
        <v>141</v>
      </c>
      <c r="I165" s="12">
        <v>0.2</v>
      </c>
      <c r="J165" s="9">
        <v>451.2</v>
      </c>
      <c r="K165" s="9">
        <v>121.5792</v>
      </c>
      <c r="L165" s="12">
        <v>0.26945744680851103</v>
      </c>
      <c r="M165" t="s">
        <v>32</v>
      </c>
    </row>
    <row r="166" spans="1:13" x14ac:dyDescent="0.25">
      <c r="A166">
        <v>1574</v>
      </c>
      <c r="B166" s="3">
        <v>44756</v>
      </c>
      <c r="C166" t="s">
        <v>18</v>
      </c>
      <c r="D166" t="s">
        <v>20</v>
      </c>
      <c r="E166" t="s">
        <v>25</v>
      </c>
      <c r="F166" t="s">
        <v>31</v>
      </c>
      <c r="G166">
        <v>6</v>
      </c>
      <c r="H166" s="9">
        <v>162</v>
      </c>
      <c r="I166" s="12">
        <v>0</v>
      </c>
      <c r="J166" s="9">
        <v>972</v>
      </c>
      <c r="K166" s="9">
        <v>262.33839999999998</v>
      </c>
      <c r="L166" s="12">
        <v>0.26989547325102903</v>
      </c>
      <c r="M166" t="s">
        <v>32</v>
      </c>
    </row>
    <row r="167" spans="1:13" x14ac:dyDescent="0.25">
      <c r="A167">
        <v>1187</v>
      </c>
      <c r="B167" s="3">
        <v>44687</v>
      </c>
      <c r="C167" t="s">
        <v>17</v>
      </c>
      <c r="D167" t="s">
        <v>21</v>
      </c>
      <c r="E167" t="s">
        <v>24</v>
      </c>
      <c r="F167" t="s">
        <v>31</v>
      </c>
      <c r="G167">
        <v>4</v>
      </c>
      <c r="H167" s="9">
        <v>451</v>
      </c>
      <c r="I167" s="12">
        <v>0.1</v>
      </c>
      <c r="J167" s="9">
        <v>1623.6</v>
      </c>
      <c r="K167" s="9">
        <v>389.41980000000001</v>
      </c>
      <c r="L167" s="12">
        <v>0.23984959349593499</v>
      </c>
      <c r="M167" t="s">
        <v>32</v>
      </c>
    </row>
    <row r="168" spans="1:13" x14ac:dyDescent="0.25">
      <c r="A168">
        <v>1573</v>
      </c>
      <c r="B168" s="3">
        <v>44782</v>
      </c>
      <c r="C168" t="s">
        <v>18</v>
      </c>
      <c r="D168" t="s">
        <v>21</v>
      </c>
      <c r="E168" t="s">
        <v>24</v>
      </c>
      <c r="F168" t="s">
        <v>31</v>
      </c>
      <c r="G168">
        <v>6</v>
      </c>
      <c r="H168" s="9">
        <v>337</v>
      </c>
      <c r="I168" s="12">
        <v>0.2</v>
      </c>
      <c r="J168" s="9">
        <v>1617.6</v>
      </c>
      <c r="K168" s="9">
        <v>450.94240000000002</v>
      </c>
      <c r="L168" s="12">
        <v>0.278772502472799</v>
      </c>
      <c r="M168" t="s">
        <v>32</v>
      </c>
    </row>
    <row r="169" spans="1:13" x14ac:dyDescent="0.25">
      <c r="A169">
        <v>1826</v>
      </c>
      <c r="B169" s="3">
        <v>44822</v>
      </c>
      <c r="C169" t="s">
        <v>18</v>
      </c>
      <c r="D169" t="s">
        <v>21</v>
      </c>
      <c r="E169" t="s">
        <v>25</v>
      </c>
      <c r="F169" t="s">
        <v>31</v>
      </c>
      <c r="G169">
        <v>8</v>
      </c>
      <c r="H169" s="9">
        <v>307</v>
      </c>
      <c r="I169" s="12">
        <v>0</v>
      </c>
      <c r="J169" s="9">
        <v>2456</v>
      </c>
      <c r="K169" s="9">
        <v>625.70500000000004</v>
      </c>
      <c r="L169" s="12">
        <v>0.25476587947882701</v>
      </c>
      <c r="M169" t="s">
        <v>32</v>
      </c>
    </row>
    <row r="170" spans="1:13" x14ac:dyDescent="0.25">
      <c r="A170">
        <v>1243</v>
      </c>
      <c r="B170" s="3">
        <v>44616</v>
      </c>
      <c r="C170" t="s">
        <v>13</v>
      </c>
      <c r="D170" t="s">
        <v>21</v>
      </c>
      <c r="E170" t="s">
        <v>26</v>
      </c>
      <c r="F170" t="s">
        <v>31</v>
      </c>
      <c r="G170">
        <v>3</v>
      </c>
      <c r="H170" s="9">
        <v>46</v>
      </c>
      <c r="I170" s="12">
        <v>0.2</v>
      </c>
      <c r="J170" s="9">
        <v>110.4</v>
      </c>
      <c r="K170" s="9">
        <v>24.1905</v>
      </c>
      <c r="L170" s="12">
        <v>0.21911684782608701</v>
      </c>
      <c r="M170" t="s">
        <v>32</v>
      </c>
    </row>
    <row r="171" spans="1:13" x14ac:dyDescent="0.25">
      <c r="A171">
        <v>1459</v>
      </c>
      <c r="B171" s="3">
        <v>44594</v>
      </c>
      <c r="C171" t="s">
        <v>13</v>
      </c>
      <c r="D171" t="s">
        <v>23</v>
      </c>
      <c r="E171" t="s">
        <v>24</v>
      </c>
      <c r="F171" t="s">
        <v>30</v>
      </c>
      <c r="G171">
        <v>9</v>
      </c>
      <c r="H171" s="9">
        <v>45</v>
      </c>
      <c r="I171" s="12">
        <v>0</v>
      </c>
      <c r="J171" s="9">
        <v>405</v>
      </c>
      <c r="K171" s="9">
        <v>121.1289</v>
      </c>
      <c r="L171" s="12">
        <v>0.29908370370370402</v>
      </c>
      <c r="M171" t="s">
        <v>32</v>
      </c>
    </row>
    <row r="172" spans="1:13" x14ac:dyDescent="0.25">
      <c r="A172">
        <v>1014</v>
      </c>
      <c r="B172" s="3">
        <v>44750</v>
      </c>
      <c r="C172" t="s">
        <v>18</v>
      </c>
      <c r="D172" t="s">
        <v>22</v>
      </c>
      <c r="E172" t="s">
        <v>24</v>
      </c>
      <c r="F172" t="s">
        <v>30</v>
      </c>
      <c r="G172">
        <v>9</v>
      </c>
      <c r="H172" s="9">
        <v>213</v>
      </c>
      <c r="I172" s="12">
        <v>0.2</v>
      </c>
      <c r="J172" s="9">
        <v>1533.6</v>
      </c>
      <c r="K172" s="9">
        <v>139.82839999999999</v>
      </c>
      <c r="L172" s="12">
        <v>9.1176577986437093E-2</v>
      </c>
      <c r="M172" t="s">
        <v>32</v>
      </c>
    </row>
    <row r="173" spans="1:13" x14ac:dyDescent="0.25">
      <c r="A173">
        <v>1838</v>
      </c>
      <c r="B173" s="3">
        <v>44696</v>
      </c>
      <c r="C173" t="s">
        <v>15</v>
      </c>
      <c r="D173" t="s">
        <v>21</v>
      </c>
      <c r="E173" t="s">
        <v>24</v>
      </c>
      <c r="F173" t="s">
        <v>27</v>
      </c>
      <c r="G173">
        <v>3</v>
      </c>
      <c r="H173" s="9">
        <v>83</v>
      </c>
      <c r="I173" s="12">
        <v>0</v>
      </c>
      <c r="J173" s="9">
        <v>249</v>
      </c>
      <c r="K173" s="9">
        <v>45.593200000000003</v>
      </c>
      <c r="L173" s="12">
        <v>0.18310522088353401</v>
      </c>
      <c r="M173" t="s">
        <v>33</v>
      </c>
    </row>
    <row r="174" spans="1:13" x14ac:dyDescent="0.25">
      <c r="A174">
        <v>1856</v>
      </c>
      <c r="B174" s="3">
        <v>44695</v>
      </c>
      <c r="C174" t="s">
        <v>15</v>
      </c>
      <c r="D174" t="s">
        <v>21</v>
      </c>
      <c r="E174" t="s">
        <v>26</v>
      </c>
      <c r="F174" t="s">
        <v>29</v>
      </c>
      <c r="G174">
        <v>2</v>
      </c>
      <c r="H174" s="9">
        <v>414</v>
      </c>
      <c r="I174" s="12">
        <v>0.1</v>
      </c>
      <c r="J174" s="9">
        <v>745.2</v>
      </c>
      <c r="K174" s="9">
        <v>63.2014</v>
      </c>
      <c r="L174" s="12">
        <v>8.4811325818572203E-2</v>
      </c>
      <c r="M174" t="s">
        <v>32</v>
      </c>
    </row>
    <row r="175" spans="1:13" x14ac:dyDescent="0.25">
      <c r="A175">
        <v>1821</v>
      </c>
      <c r="B175" s="3">
        <v>44657</v>
      </c>
      <c r="C175" t="s">
        <v>15</v>
      </c>
      <c r="D175" t="s">
        <v>21</v>
      </c>
      <c r="E175" t="s">
        <v>24</v>
      </c>
      <c r="F175" t="s">
        <v>29</v>
      </c>
      <c r="G175">
        <v>7</v>
      </c>
      <c r="H175" s="9">
        <v>328</v>
      </c>
      <c r="I175" s="12">
        <v>0</v>
      </c>
      <c r="J175" s="9">
        <v>2296</v>
      </c>
      <c r="K175" s="9">
        <v>654.74990000000003</v>
      </c>
      <c r="L175" s="12">
        <v>0.28516981707317102</v>
      </c>
      <c r="M175" t="s">
        <v>32</v>
      </c>
    </row>
    <row r="176" spans="1:13" x14ac:dyDescent="0.25">
      <c r="A176">
        <v>1376</v>
      </c>
      <c r="B176" s="3">
        <v>44801</v>
      </c>
      <c r="C176" t="s">
        <v>13</v>
      </c>
      <c r="D176" t="s">
        <v>22</v>
      </c>
      <c r="E176" t="s">
        <v>25</v>
      </c>
      <c r="F176" t="s">
        <v>30</v>
      </c>
      <c r="G176">
        <v>8</v>
      </c>
      <c r="H176" s="9">
        <v>33</v>
      </c>
      <c r="I176" s="12">
        <v>0</v>
      </c>
      <c r="J176" s="9">
        <v>264</v>
      </c>
      <c r="K176" s="9">
        <v>71.439499999999995</v>
      </c>
      <c r="L176" s="12">
        <v>0.27060416666666698</v>
      </c>
      <c r="M176" t="s">
        <v>32</v>
      </c>
    </row>
    <row r="177" spans="1:13" x14ac:dyDescent="0.25">
      <c r="A177">
        <v>1217</v>
      </c>
      <c r="B177" s="3">
        <v>44742</v>
      </c>
      <c r="C177" t="s">
        <v>15</v>
      </c>
      <c r="D177" t="s">
        <v>20</v>
      </c>
      <c r="E177" t="s">
        <v>26</v>
      </c>
      <c r="F177" t="s">
        <v>31</v>
      </c>
      <c r="G177">
        <v>4</v>
      </c>
      <c r="H177" s="9">
        <v>480</v>
      </c>
      <c r="I177" s="12">
        <v>0</v>
      </c>
      <c r="J177" s="9">
        <v>1920</v>
      </c>
      <c r="K177" s="9">
        <v>125.89109999999999</v>
      </c>
      <c r="L177" s="12">
        <v>6.5568281249999999E-2</v>
      </c>
      <c r="M177" t="s">
        <v>32</v>
      </c>
    </row>
    <row r="178" spans="1:13" x14ac:dyDescent="0.25">
      <c r="A178">
        <v>1725</v>
      </c>
      <c r="B178" s="3">
        <v>44731</v>
      </c>
      <c r="C178" t="s">
        <v>18</v>
      </c>
      <c r="D178" t="s">
        <v>23</v>
      </c>
      <c r="E178" t="s">
        <v>25</v>
      </c>
      <c r="F178" t="s">
        <v>31</v>
      </c>
      <c r="G178">
        <v>2</v>
      </c>
      <c r="H178" s="9">
        <v>167</v>
      </c>
      <c r="I178" s="12">
        <v>0</v>
      </c>
      <c r="J178" s="9">
        <v>334</v>
      </c>
      <c r="K178" s="9">
        <v>23.524100000000001</v>
      </c>
      <c r="L178" s="12">
        <v>7.0431437125748494E-2</v>
      </c>
      <c r="M178" t="s">
        <v>32</v>
      </c>
    </row>
    <row r="179" spans="1:13" x14ac:dyDescent="0.25">
      <c r="A179">
        <v>1805</v>
      </c>
      <c r="B179" s="3">
        <v>44588</v>
      </c>
      <c r="C179" t="s">
        <v>13</v>
      </c>
      <c r="D179" t="s">
        <v>23</v>
      </c>
      <c r="E179" t="s">
        <v>24</v>
      </c>
      <c r="F179" t="s">
        <v>31</v>
      </c>
      <c r="G179">
        <v>9</v>
      </c>
      <c r="H179" s="9">
        <v>98</v>
      </c>
      <c r="I179" s="12">
        <v>0.3</v>
      </c>
      <c r="J179" s="9">
        <v>617.4</v>
      </c>
      <c r="K179" s="9">
        <v>178.74860000000001</v>
      </c>
      <c r="L179" s="12">
        <v>0.28951830255911898</v>
      </c>
      <c r="M179" t="s">
        <v>33</v>
      </c>
    </row>
    <row r="180" spans="1:13" x14ac:dyDescent="0.25">
      <c r="A180">
        <v>1389</v>
      </c>
      <c r="B180" s="3">
        <v>44653</v>
      </c>
      <c r="C180" t="s">
        <v>16</v>
      </c>
      <c r="D180" t="s">
        <v>23</v>
      </c>
      <c r="E180" t="s">
        <v>24</v>
      </c>
      <c r="F180" t="s">
        <v>31</v>
      </c>
      <c r="G180">
        <v>5</v>
      </c>
      <c r="H180" s="9">
        <v>449</v>
      </c>
      <c r="I180" s="12">
        <v>0.2</v>
      </c>
      <c r="J180" s="9">
        <v>1796</v>
      </c>
      <c r="K180" s="9">
        <v>463.23200000000003</v>
      </c>
      <c r="L180" s="12">
        <v>0.257924276169265</v>
      </c>
      <c r="M180" t="s">
        <v>32</v>
      </c>
    </row>
    <row r="181" spans="1:13" x14ac:dyDescent="0.25">
      <c r="A181">
        <v>1957</v>
      </c>
      <c r="B181" s="3">
        <v>44665</v>
      </c>
      <c r="C181" t="s">
        <v>15</v>
      </c>
      <c r="D181" t="s">
        <v>21</v>
      </c>
      <c r="E181" t="s">
        <v>24</v>
      </c>
      <c r="F181" t="s">
        <v>29</v>
      </c>
      <c r="G181">
        <v>5</v>
      </c>
      <c r="H181" s="9">
        <v>368</v>
      </c>
      <c r="I181" s="12">
        <v>0.1</v>
      </c>
      <c r="J181" s="9">
        <v>1656</v>
      </c>
      <c r="K181" s="9">
        <v>282.7491</v>
      </c>
      <c r="L181" s="12">
        <v>0.17074221014492799</v>
      </c>
      <c r="M181" t="s">
        <v>32</v>
      </c>
    </row>
    <row r="182" spans="1:13" x14ac:dyDescent="0.25">
      <c r="A182">
        <v>1624</v>
      </c>
      <c r="B182" s="3">
        <v>44841</v>
      </c>
      <c r="C182" t="s">
        <v>19</v>
      </c>
      <c r="D182" t="s">
        <v>20</v>
      </c>
      <c r="E182" t="s">
        <v>26</v>
      </c>
      <c r="F182" t="s">
        <v>29</v>
      </c>
      <c r="G182">
        <v>1</v>
      </c>
      <c r="H182" s="9">
        <v>112</v>
      </c>
      <c r="I182" s="12">
        <v>0.3</v>
      </c>
      <c r="J182" s="9">
        <v>78.400000000000006</v>
      </c>
      <c r="K182" s="9">
        <v>18.597000000000001</v>
      </c>
      <c r="L182" s="12">
        <v>0.23720663265306099</v>
      </c>
      <c r="M182" t="s">
        <v>32</v>
      </c>
    </row>
    <row r="183" spans="1:13" x14ac:dyDescent="0.25">
      <c r="A183">
        <v>1676</v>
      </c>
      <c r="B183" s="3">
        <v>44815</v>
      </c>
      <c r="C183" t="s">
        <v>16</v>
      </c>
      <c r="D183" t="s">
        <v>21</v>
      </c>
      <c r="E183" t="s">
        <v>26</v>
      </c>
      <c r="F183" t="s">
        <v>28</v>
      </c>
      <c r="G183">
        <v>8</v>
      </c>
      <c r="H183" s="9">
        <v>375</v>
      </c>
      <c r="I183" s="12">
        <v>0.3</v>
      </c>
      <c r="J183" s="9">
        <v>2100</v>
      </c>
      <c r="K183" s="9">
        <v>381.88479999999998</v>
      </c>
      <c r="L183" s="12">
        <v>0.18184990476190499</v>
      </c>
      <c r="M183" t="s">
        <v>32</v>
      </c>
    </row>
    <row r="184" spans="1:13" x14ac:dyDescent="0.25">
      <c r="A184">
        <v>1671</v>
      </c>
      <c r="B184" s="3">
        <v>44861</v>
      </c>
      <c r="C184" t="s">
        <v>19</v>
      </c>
      <c r="D184" t="s">
        <v>20</v>
      </c>
      <c r="E184" t="s">
        <v>25</v>
      </c>
      <c r="F184" t="s">
        <v>31</v>
      </c>
      <c r="G184">
        <v>6</v>
      </c>
      <c r="H184" s="9">
        <v>39</v>
      </c>
      <c r="I184" s="12">
        <v>0.2</v>
      </c>
      <c r="J184" s="9">
        <v>187.2</v>
      </c>
      <c r="K184" s="9">
        <v>33.352200000000003</v>
      </c>
      <c r="L184" s="12">
        <v>0.17816346153846199</v>
      </c>
      <c r="M184" t="s">
        <v>32</v>
      </c>
    </row>
    <row r="185" spans="1:13" x14ac:dyDescent="0.25">
      <c r="A185">
        <v>1337</v>
      </c>
      <c r="B185" s="3">
        <v>44680</v>
      </c>
      <c r="C185" t="s">
        <v>16</v>
      </c>
      <c r="D185" t="s">
        <v>23</v>
      </c>
      <c r="E185" t="s">
        <v>25</v>
      </c>
      <c r="F185" t="s">
        <v>29</v>
      </c>
      <c r="G185">
        <v>7</v>
      </c>
      <c r="H185" s="9">
        <v>292</v>
      </c>
      <c r="I185" s="12">
        <v>0.1</v>
      </c>
      <c r="J185" s="9">
        <v>1839.6</v>
      </c>
      <c r="K185" s="9">
        <v>118.2195</v>
      </c>
      <c r="L185" s="12">
        <v>6.4263698630137006E-2</v>
      </c>
      <c r="M185" t="s">
        <v>32</v>
      </c>
    </row>
    <row r="186" spans="1:13" x14ac:dyDescent="0.25">
      <c r="A186">
        <v>1034</v>
      </c>
      <c r="B186" s="3">
        <v>44645</v>
      </c>
      <c r="C186" t="s">
        <v>16</v>
      </c>
      <c r="D186" t="s">
        <v>20</v>
      </c>
      <c r="E186" t="s">
        <v>24</v>
      </c>
      <c r="F186" t="s">
        <v>28</v>
      </c>
      <c r="G186">
        <v>3</v>
      </c>
      <c r="H186" s="9">
        <v>299</v>
      </c>
      <c r="I186" s="12">
        <v>0.1</v>
      </c>
      <c r="J186" s="9">
        <v>807.3</v>
      </c>
      <c r="K186" s="9">
        <v>117.8321</v>
      </c>
      <c r="L186" s="12">
        <v>0.14595825591477801</v>
      </c>
      <c r="M186" t="s">
        <v>32</v>
      </c>
    </row>
    <row r="187" spans="1:13" x14ac:dyDescent="0.25">
      <c r="A187">
        <v>1744</v>
      </c>
      <c r="B187" s="3">
        <v>44807</v>
      </c>
      <c r="C187" t="s">
        <v>16</v>
      </c>
      <c r="D187" t="s">
        <v>23</v>
      </c>
      <c r="E187" t="s">
        <v>26</v>
      </c>
      <c r="F187" t="s">
        <v>27</v>
      </c>
      <c r="G187">
        <v>5</v>
      </c>
      <c r="H187" s="9">
        <v>416</v>
      </c>
      <c r="I187" s="12">
        <v>0.3</v>
      </c>
      <c r="J187" s="9">
        <v>1456</v>
      </c>
      <c r="K187" s="9">
        <v>315.92290000000003</v>
      </c>
      <c r="L187" s="12">
        <v>0.21698001373626399</v>
      </c>
      <c r="M187" t="s">
        <v>32</v>
      </c>
    </row>
    <row r="188" spans="1:13" x14ac:dyDescent="0.25">
      <c r="A188">
        <v>1387</v>
      </c>
      <c r="B188" s="3">
        <v>44651</v>
      </c>
      <c r="C188" t="s">
        <v>18</v>
      </c>
      <c r="D188" t="s">
        <v>21</v>
      </c>
      <c r="E188" t="s">
        <v>26</v>
      </c>
      <c r="F188" t="s">
        <v>31</v>
      </c>
      <c r="G188">
        <v>2</v>
      </c>
      <c r="H188" s="9">
        <v>91</v>
      </c>
      <c r="I188" s="12">
        <v>0</v>
      </c>
      <c r="J188" s="9">
        <v>182</v>
      </c>
      <c r="K188" s="9">
        <v>10.292</v>
      </c>
      <c r="L188" s="12">
        <v>5.6549450549450597E-2</v>
      </c>
      <c r="M188" t="s">
        <v>32</v>
      </c>
    </row>
    <row r="189" spans="1:13" x14ac:dyDescent="0.25">
      <c r="A189">
        <v>1791</v>
      </c>
      <c r="B189" s="3">
        <v>44683</v>
      </c>
      <c r="C189" t="s">
        <v>19</v>
      </c>
      <c r="D189" t="s">
        <v>20</v>
      </c>
      <c r="E189" t="s">
        <v>24</v>
      </c>
      <c r="F189" t="s">
        <v>27</v>
      </c>
      <c r="G189">
        <v>8</v>
      </c>
      <c r="H189" s="9">
        <v>359</v>
      </c>
      <c r="I189" s="12">
        <v>0</v>
      </c>
      <c r="J189" s="9">
        <v>2872</v>
      </c>
      <c r="K189" s="9">
        <v>320.93079999999998</v>
      </c>
      <c r="L189" s="12">
        <v>0.111744707520891</v>
      </c>
      <c r="M189" t="s">
        <v>32</v>
      </c>
    </row>
    <row r="190" spans="1:13" x14ac:dyDescent="0.25">
      <c r="A190">
        <v>1095</v>
      </c>
      <c r="B190" s="3">
        <v>44761</v>
      </c>
      <c r="C190" t="s">
        <v>13</v>
      </c>
      <c r="D190" t="s">
        <v>22</v>
      </c>
      <c r="E190" t="s">
        <v>26</v>
      </c>
      <c r="F190" t="s">
        <v>28</v>
      </c>
      <c r="G190">
        <v>9</v>
      </c>
      <c r="H190" s="9">
        <v>379</v>
      </c>
      <c r="I190" s="12">
        <v>0</v>
      </c>
      <c r="J190" s="9">
        <v>3411</v>
      </c>
      <c r="K190" s="9">
        <v>828.8836</v>
      </c>
      <c r="L190" s="12">
        <v>0.243003107593081</v>
      </c>
      <c r="M190" t="s">
        <v>32</v>
      </c>
    </row>
    <row r="191" spans="1:13" x14ac:dyDescent="0.25">
      <c r="A191">
        <v>1986</v>
      </c>
      <c r="B191" s="3">
        <v>44732</v>
      </c>
      <c r="C191" t="s">
        <v>17</v>
      </c>
      <c r="D191" t="s">
        <v>21</v>
      </c>
      <c r="E191" t="s">
        <v>26</v>
      </c>
      <c r="F191" t="s">
        <v>29</v>
      </c>
      <c r="G191">
        <v>4</v>
      </c>
      <c r="H191" s="9">
        <v>180</v>
      </c>
      <c r="I191" s="12">
        <v>0.2</v>
      </c>
      <c r="J191" s="9">
        <v>576</v>
      </c>
      <c r="K191" s="9">
        <v>94.795299999999997</v>
      </c>
      <c r="L191" s="12">
        <v>0.16457517361111099</v>
      </c>
      <c r="M191" t="s">
        <v>32</v>
      </c>
    </row>
    <row r="192" spans="1:13" x14ac:dyDescent="0.25">
      <c r="A192">
        <v>1191</v>
      </c>
      <c r="B192" s="3">
        <v>44590</v>
      </c>
      <c r="C192" t="s">
        <v>18</v>
      </c>
      <c r="D192" t="s">
        <v>20</v>
      </c>
      <c r="E192" t="s">
        <v>25</v>
      </c>
      <c r="F192" t="s">
        <v>29</v>
      </c>
      <c r="G192">
        <v>7</v>
      </c>
      <c r="H192" s="9">
        <v>454</v>
      </c>
      <c r="I192" s="12">
        <v>0.3</v>
      </c>
      <c r="J192" s="9">
        <v>2224.6</v>
      </c>
      <c r="K192" s="9">
        <v>293.053</v>
      </c>
      <c r="L192" s="12">
        <v>0.131732895801492</v>
      </c>
      <c r="M192" t="s">
        <v>32</v>
      </c>
    </row>
    <row r="193" spans="1:13" x14ac:dyDescent="0.25">
      <c r="A193">
        <v>1654</v>
      </c>
      <c r="B193" s="3">
        <v>44768</v>
      </c>
      <c r="C193" t="s">
        <v>17</v>
      </c>
      <c r="D193" t="s">
        <v>22</v>
      </c>
      <c r="E193" t="s">
        <v>26</v>
      </c>
      <c r="F193" t="s">
        <v>29</v>
      </c>
      <c r="G193">
        <v>6</v>
      </c>
      <c r="H193" s="9">
        <v>281</v>
      </c>
      <c r="I193" s="12">
        <v>0.3</v>
      </c>
      <c r="J193" s="9">
        <v>1180.2</v>
      </c>
      <c r="K193" s="9">
        <v>90.13</v>
      </c>
      <c r="L193" s="12">
        <v>7.6368412133536706E-2</v>
      </c>
      <c r="M193" t="s">
        <v>32</v>
      </c>
    </row>
    <row r="194" spans="1:13" x14ac:dyDescent="0.25">
      <c r="A194">
        <v>1724</v>
      </c>
      <c r="B194" s="3">
        <v>44677</v>
      </c>
      <c r="C194" t="s">
        <v>19</v>
      </c>
      <c r="D194" t="s">
        <v>20</v>
      </c>
      <c r="E194" t="s">
        <v>26</v>
      </c>
      <c r="F194" t="s">
        <v>27</v>
      </c>
      <c r="G194">
        <v>6</v>
      </c>
      <c r="H194" s="9">
        <v>241</v>
      </c>
      <c r="I194" s="12">
        <v>0</v>
      </c>
      <c r="J194" s="9">
        <v>1446</v>
      </c>
      <c r="K194" s="9">
        <v>309.78930000000003</v>
      </c>
      <c r="L194" s="12">
        <v>0.214238796680498</v>
      </c>
      <c r="M194" t="s">
        <v>33</v>
      </c>
    </row>
    <row r="195" spans="1:13" x14ac:dyDescent="0.25">
      <c r="A195">
        <v>1619</v>
      </c>
      <c r="B195" s="3">
        <v>44787</v>
      </c>
      <c r="C195" t="s">
        <v>18</v>
      </c>
      <c r="D195" t="s">
        <v>23</v>
      </c>
      <c r="E195" t="s">
        <v>25</v>
      </c>
      <c r="F195" t="s">
        <v>31</v>
      </c>
      <c r="G195">
        <v>5</v>
      </c>
      <c r="H195" s="9">
        <v>478</v>
      </c>
      <c r="I195" s="12">
        <v>0.2</v>
      </c>
      <c r="J195" s="9">
        <v>1912</v>
      </c>
      <c r="K195" s="9">
        <v>247.0121</v>
      </c>
      <c r="L195" s="12">
        <v>0.129190428870293</v>
      </c>
      <c r="M195" t="s">
        <v>32</v>
      </c>
    </row>
    <row r="196" spans="1:13" x14ac:dyDescent="0.25">
      <c r="A196">
        <v>1214</v>
      </c>
      <c r="B196" s="3">
        <v>44573</v>
      </c>
      <c r="C196" t="s">
        <v>18</v>
      </c>
      <c r="D196" t="s">
        <v>23</v>
      </c>
      <c r="E196" t="s">
        <v>26</v>
      </c>
      <c r="F196" t="s">
        <v>31</v>
      </c>
      <c r="G196">
        <v>6</v>
      </c>
      <c r="H196" s="9">
        <v>194</v>
      </c>
      <c r="I196" s="12">
        <v>0.1</v>
      </c>
      <c r="J196" s="9">
        <v>1047.5999999999999</v>
      </c>
      <c r="K196" s="9">
        <v>157.53139999999999</v>
      </c>
      <c r="L196" s="12">
        <v>0.150373615883925</v>
      </c>
      <c r="M196" t="s">
        <v>32</v>
      </c>
    </row>
    <row r="197" spans="1:13" x14ac:dyDescent="0.25">
      <c r="A197">
        <v>1099</v>
      </c>
      <c r="B197" s="3">
        <v>44578</v>
      </c>
      <c r="C197" t="s">
        <v>15</v>
      </c>
      <c r="D197" t="s">
        <v>20</v>
      </c>
      <c r="E197" t="s">
        <v>26</v>
      </c>
      <c r="F197" t="s">
        <v>27</v>
      </c>
      <c r="G197">
        <v>5</v>
      </c>
      <c r="H197" s="9">
        <v>246</v>
      </c>
      <c r="I197" s="12">
        <v>0.1</v>
      </c>
      <c r="J197" s="9">
        <v>1107</v>
      </c>
      <c r="K197" s="9">
        <v>225.82400000000001</v>
      </c>
      <c r="L197" s="12">
        <v>0.20399638663053299</v>
      </c>
      <c r="M197" t="s">
        <v>32</v>
      </c>
    </row>
    <row r="198" spans="1:13" x14ac:dyDescent="0.25">
      <c r="A198">
        <v>1170</v>
      </c>
      <c r="B198" s="3">
        <v>44769</v>
      </c>
      <c r="C198" t="s">
        <v>13</v>
      </c>
      <c r="D198" t="s">
        <v>20</v>
      </c>
      <c r="E198" t="s">
        <v>24</v>
      </c>
      <c r="F198" t="s">
        <v>28</v>
      </c>
      <c r="G198">
        <v>7</v>
      </c>
      <c r="H198" s="9">
        <v>92</v>
      </c>
      <c r="I198" s="12">
        <v>0.3</v>
      </c>
      <c r="J198" s="9">
        <v>450.8</v>
      </c>
      <c r="K198" s="9">
        <v>96.559100000000001</v>
      </c>
      <c r="L198" s="12">
        <v>0.21419498669032799</v>
      </c>
      <c r="M198" t="s">
        <v>32</v>
      </c>
    </row>
    <row r="199" spans="1:13" x14ac:dyDescent="0.25">
      <c r="A199">
        <v>1461</v>
      </c>
      <c r="B199" s="3">
        <v>44672</v>
      </c>
      <c r="C199" t="s">
        <v>14</v>
      </c>
      <c r="D199" t="s">
        <v>22</v>
      </c>
      <c r="E199" t="s">
        <v>25</v>
      </c>
      <c r="F199" t="s">
        <v>29</v>
      </c>
      <c r="G199">
        <v>9</v>
      </c>
      <c r="H199" s="9">
        <v>406</v>
      </c>
      <c r="I199" s="12">
        <v>0</v>
      </c>
      <c r="J199" s="9">
        <v>3654</v>
      </c>
      <c r="K199" s="9">
        <v>881.99599999999998</v>
      </c>
      <c r="L199" s="12">
        <v>0.24137821565407799</v>
      </c>
      <c r="M199" t="s">
        <v>32</v>
      </c>
    </row>
    <row r="200" spans="1:13" x14ac:dyDescent="0.25">
      <c r="A200">
        <v>1014</v>
      </c>
      <c r="B200" s="3">
        <v>44692</v>
      </c>
      <c r="C200" t="s">
        <v>16</v>
      </c>
      <c r="D200" t="s">
        <v>22</v>
      </c>
      <c r="E200" t="s">
        <v>25</v>
      </c>
      <c r="F200" t="s">
        <v>30</v>
      </c>
      <c r="G200">
        <v>1</v>
      </c>
      <c r="H200" s="9">
        <v>405</v>
      </c>
      <c r="I200" s="12">
        <v>0.1</v>
      </c>
      <c r="J200" s="9">
        <v>364.5</v>
      </c>
      <c r="K200" s="9">
        <v>21.288</v>
      </c>
      <c r="L200" s="12">
        <v>5.8403292181070002E-2</v>
      </c>
      <c r="M200" t="s">
        <v>32</v>
      </c>
    </row>
    <row r="201" spans="1:13" x14ac:dyDescent="0.25">
      <c r="A201">
        <v>1040</v>
      </c>
      <c r="B201" s="3">
        <v>44714</v>
      </c>
      <c r="C201" t="s">
        <v>13</v>
      </c>
      <c r="D201" t="s">
        <v>23</v>
      </c>
      <c r="E201" t="s">
        <v>24</v>
      </c>
      <c r="F201" t="s">
        <v>29</v>
      </c>
      <c r="G201">
        <v>2</v>
      </c>
      <c r="H201" s="9">
        <v>444</v>
      </c>
      <c r="I201" s="12">
        <v>0</v>
      </c>
      <c r="J201" s="9">
        <v>888</v>
      </c>
      <c r="K201" s="9">
        <v>147.393</v>
      </c>
      <c r="L201" s="12">
        <v>0.16598310810810801</v>
      </c>
      <c r="M201" t="s">
        <v>32</v>
      </c>
    </row>
    <row r="202" spans="1:13" x14ac:dyDescent="0.25">
      <c r="A202">
        <v>1406</v>
      </c>
      <c r="B202" s="3">
        <v>44724</v>
      </c>
      <c r="C202" t="s">
        <v>15</v>
      </c>
      <c r="D202" t="s">
        <v>21</v>
      </c>
      <c r="E202" t="s">
        <v>25</v>
      </c>
      <c r="F202" t="s">
        <v>28</v>
      </c>
      <c r="G202">
        <v>7</v>
      </c>
      <c r="H202" s="9">
        <v>65</v>
      </c>
      <c r="I202" s="12">
        <v>0.3</v>
      </c>
      <c r="J202" s="9">
        <v>318.5</v>
      </c>
      <c r="K202" s="9">
        <v>57.6</v>
      </c>
      <c r="L202" s="12">
        <v>0.18084772370486701</v>
      </c>
      <c r="M202" t="s">
        <v>32</v>
      </c>
    </row>
    <row r="203" spans="1:13" x14ac:dyDescent="0.25">
      <c r="A203">
        <v>1080</v>
      </c>
      <c r="B203" s="3">
        <v>44843</v>
      </c>
      <c r="C203" t="s">
        <v>15</v>
      </c>
      <c r="D203" t="s">
        <v>22</v>
      </c>
      <c r="E203" t="s">
        <v>24</v>
      </c>
      <c r="F203" t="s">
        <v>31</v>
      </c>
      <c r="G203">
        <v>1</v>
      </c>
      <c r="H203" s="9">
        <v>466</v>
      </c>
      <c r="I203" s="12">
        <v>0</v>
      </c>
      <c r="J203" s="9">
        <v>466</v>
      </c>
      <c r="K203" s="9">
        <v>95.638199999999998</v>
      </c>
      <c r="L203" s="12">
        <v>0.20523218884120201</v>
      </c>
      <c r="M203" t="s">
        <v>32</v>
      </c>
    </row>
    <row r="204" spans="1:13" x14ac:dyDescent="0.25">
      <c r="A204">
        <v>1138</v>
      </c>
      <c r="B204" s="3">
        <v>44703</v>
      </c>
      <c r="C204" t="s">
        <v>14</v>
      </c>
      <c r="D204" t="s">
        <v>22</v>
      </c>
      <c r="E204" t="s">
        <v>26</v>
      </c>
      <c r="F204" t="s">
        <v>29</v>
      </c>
      <c r="G204">
        <v>1</v>
      </c>
      <c r="H204" s="9">
        <v>339</v>
      </c>
      <c r="I204" s="12">
        <v>0.2</v>
      </c>
      <c r="J204" s="9">
        <v>271.2</v>
      </c>
      <c r="K204" s="9">
        <v>51.539400000000001</v>
      </c>
      <c r="L204" s="12">
        <v>0.19004203539823</v>
      </c>
      <c r="M204" t="s">
        <v>32</v>
      </c>
    </row>
    <row r="205" spans="1:13" x14ac:dyDescent="0.25">
      <c r="A205">
        <v>1795</v>
      </c>
      <c r="B205" s="3">
        <v>44785</v>
      </c>
      <c r="C205" t="s">
        <v>15</v>
      </c>
      <c r="D205" t="s">
        <v>21</v>
      </c>
      <c r="E205" t="s">
        <v>24</v>
      </c>
      <c r="F205" t="s">
        <v>29</v>
      </c>
      <c r="G205">
        <v>9</v>
      </c>
      <c r="H205" s="9">
        <v>402</v>
      </c>
      <c r="I205" s="12">
        <v>0</v>
      </c>
      <c r="J205" s="9">
        <v>3618</v>
      </c>
      <c r="K205" s="9">
        <v>810.34079999999994</v>
      </c>
      <c r="L205" s="12">
        <v>0.22397479270315099</v>
      </c>
      <c r="M205" t="s">
        <v>32</v>
      </c>
    </row>
    <row r="206" spans="1:13" x14ac:dyDescent="0.25">
      <c r="A206">
        <v>1508</v>
      </c>
      <c r="B206" s="3">
        <v>44642</v>
      </c>
      <c r="C206" t="s">
        <v>16</v>
      </c>
      <c r="D206" t="s">
        <v>20</v>
      </c>
      <c r="E206" t="s">
        <v>26</v>
      </c>
      <c r="F206" t="s">
        <v>31</v>
      </c>
      <c r="G206">
        <v>8</v>
      </c>
      <c r="H206" s="9">
        <v>182</v>
      </c>
      <c r="I206" s="12">
        <v>0.2</v>
      </c>
      <c r="J206" s="9">
        <v>1164.8</v>
      </c>
      <c r="K206" s="9">
        <v>92.6995</v>
      </c>
      <c r="L206" s="12">
        <v>7.9584048763736301E-2</v>
      </c>
      <c r="M206" t="s">
        <v>32</v>
      </c>
    </row>
    <row r="207" spans="1:13" x14ac:dyDescent="0.25">
      <c r="A207">
        <v>1435</v>
      </c>
      <c r="B207" s="3">
        <v>44563</v>
      </c>
      <c r="C207" t="s">
        <v>17</v>
      </c>
      <c r="D207" t="s">
        <v>21</v>
      </c>
      <c r="E207" t="s">
        <v>25</v>
      </c>
      <c r="F207" t="s">
        <v>27</v>
      </c>
      <c r="G207">
        <v>1</v>
      </c>
      <c r="H207" s="9">
        <v>413</v>
      </c>
      <c r="I207" s="12">
        <v>0.1</v>
      </c>
      <c r="J207" s="9">
        <v>371.7</v>
      </c>
      <c r="K207" s="9">
        <v>99.738500000000002</v>
      </c>
      <c r="L207" s="12">
        <v>0.26833064299165998</v>
      </c>
      <c r="M207" t="s">
        <v>32</v>
      </c>
    </row>
    <row r="208" spans="1:13" x14ac:dyDescent="0.25">
      <c r="A208">
        <v>1427</v>
      </c>
      <c r="B208" s="3">
        <v>44641</v>
      </c>
      <c r="C208" t="s">
        <v>14</v>
      </c>
      <c r="D208" t="s">
        <v>21</v>
      </c>
      <c r="E208" t="s">
        <v>26</v>
      </c>
      <c r="F208" t="s">
        <v>30</v>
      </c>
      <c r="G208">
        <v>9</v>
      </c>
      <c r="H208" s="9">
        <v>464</v>
      </c>
      <c r="I208" s="12">
        <v>0.3</v>
      </c>
      <c r="J208" s="9">
        <v>2923.2</v>
      </c>
      <c r="K208" s="9">
        <v>720.31420000000003</v>
      </c>
      <c r="L208" s="12">
        <v>0.24641290366721399</v>
      </c>
      <c r="M208" t="s">
        <v>32</v>
      </c>
    </row>
    <row r="209" spans="1:13" x14ac:dyDescent="0.25">
      <c r="A209">
        <v>1161</v>
      </c>
      <c r="B209" s="3">
        <v>44663</v>
      </c>
      <c r="C209" t="s">
        <v>17</v>
      </c>
      <c r="D209" t="s">
        <v>21</v>
      </c>
      <c r="E209" t="s">
        <v>24</v>
      </c>
      <c r="F209" t="s">
        <v>28</v>
      </c>
      <c r="G209">
        <v>1</v>
      </c>
      <c r="H209" s="9">
        <v>218</v>
      </c>
      <c r="I209" s="12">
        <v>0.3</v>
      </c>
      <c r="J209" s="9">
        <v>152.6</v>
      </c>
      <c r="K209" s="9">
        <v>38.250799999999998</v>
      </c>
      <c r="L209" s="12">
        <v>0.25066055045871599</v>
      </c>
      <c r="M209" t="s">
        <v>32</v>
      </c>
    </row>
    <row r="210" spans="1:13" x14ac:dyDescent="0.25">
      <c r="A210">
        <v>1727</v>
      </c>
      <c r="B210" s="3">
        <v>44726</v>
      </c>
      <c r="C210" t="s">
        <v>17</v>
      </c>
      <c r="D210" t="s">
        <v>23</v>
      </c>
      <c r="E210" t="s">
        <v>25</v>
      </c>
      <c r="F210" t="s">
        <v>29</v>
      </c>
      <c r="G210">
        <v>5</v>
      </c>
      <c r="H210" s="9">
        <v>482</v>
      </c>
      <c r="I210" s="12">
        <v>0.1</v>
      </c>
      <c r="J210" s="9">
        <v>2169</v>
      </c>
      <c r="K210" s="9">
        <v>574.86069999999995</v>
      </c>
      <c r="L210" s="12">
        <v>0.26503490087597997</v>
      </c>
      <c r="M210" t="s">
        <v>32</v>
      </c>
    </row>
    <row r="211" spans="1:13" x14ac:dyDescent="0.25">
      <c r="A211">
        <v>1952</v>
      </c>
      <c r="B211" s="3">
        <v>44783</v>
      </c>
      <c r="C211" t="s">
        <v>18</v>
      </c>
      <c r="D211" t="s">
        <v>22</v>
      </c>
      <c r="E211" t="s">
        <v>26</v>
      </c>
      <c r="F211" t="s">
        <v>29</v>
      </c>
      <c r="G211">
        <v>8</v>
      </c>
      <c r="H211" s="9">
        <v>130</v>
      </c>
      <c r="I211" s="12">
        <v>0.2</v>
      </c>
      <c r="J211" s="9">
        <v>832</v>
      </c>
      <c r="K211" s="9">
        <v>152.47</v>
      </c>
      <c r="L211" s="12">
        <v>0.183257211538462</v>
      </c>
      <c r="M211" t="s">
        <v>32</v>
      </c>
    </row>
    <row r="212" spans="1:13" x14ac:dyDescent="0.25">
      <c r="A212">
        <v>1975</v>
      </c>
      <c r="B212" s="3">
        <v>44607</v>
      </c>
      <c r="C212" t="s">
        <v>17</v>
      </c>
      <c r="D212" t="s">
        <v>23</v>
      </c>
      <c r="E212" t="s">
        <v>26</v>
      </c>
      <c r="F212" t="s">
        <v>28</v>
      </c>
      <c r="G212">
        <v>5</v>
      </c>
      <c r="H212" s="9">
        <v>94</v>
      </c>
      <c r="I212" s="12">
        <v>0.2</v>
      </c>
      <c r="J212" s="9">
        <v>376</v>
      </c>
      <c r="K212" s="9">
        <v>27.5411</v>
      </c>
      <c r="L212" s="12">
        <v>7.3247606382978697E-2</v>
      </c>
      <c r="M212" t="s">
        <v>32</v>
      </c>
    </row>
    <row r="213" spans="1:13" x14ac:dyDescent="0.25">
      <c r="A213">
        <v>1897</v>
      </c>
      <c r="B213" s="3">
        <v>44635</v>
      </c>
      <c r="C213" t="s">
        <v>13</v>
      </c>
      <c r="D213" t="s">
        <v>20</v>
      </c>
      <c r="E213" t="s">
        <v>26</v>
      </c>
      <c r="F213" t="s">
        <v>30</v>
      </c>
      <c r="G213">
        <v>5</v>
      </c>
      <c r="H213" s="9">
        <v>276</v>
      </c>
      <c r="I213" s="12">
        <v>0.3</v>
      </c>
      <c r="J213" s="9">
        <v>966</v>
      </c>
      <c r="K213" s="9">
        <v>225.96260000000001</v>
      </c>
      <c r="L213" s="12">
        <v>0.23391573498964799</v>
      </c>
      <c r="M213" t="s">
        <v>32</v>
      </c>
    </row>
    <row r="214" spans="1:13" x14ac:dyDescent="0.25">
      <c r="A214">
        <v>1224</v>
      </c>
      <c r="B214" s="3">
        <v>44799</v>
      </c>
      <c r="C214" t="s">
        <v>19</v>
      </c>
      <c r="D214" t="s">
        <v>20</v>
      </c>
      <c r="E214" t="s">
        <v>25</v>
      </c>
      <c r="F214" t="s">
        <v>29</v>
      </c>
      <c r="G214">
        <v>5</v>
      </c>
      <c r="H214" s="9">
        <v>207</v>
      </c>
      <c r="I214" s="12">
        <v>0.1</v>
      </c>
      <c r="J214" s="9">
        <v>931.5</v>
      </c>
      <c r="K214" s="9">
        <v>189.86250000000001</v>
      </c>
      <c r="L214" s="12">
        <v>0.203824476650564</v>
      </c>
      <c r="M214" t="s">
        <v>32</v>
      </c>
    </row>
    <row r="215" spans="1:13" x14ac:dyDescent="0.25">
      <c r="A215">
        <v>1782</v>
      </c>
      <c r="B215" s="3">
        <v>44608</v>
      </c>
      <c r="C215" t="s">
        <v>17</v>
      </c>
      <c r="D215" t="s">
        <v>23</v>
      </c>
      <c r="E215" t="s">
        <v>25</v>
      </c>
      <c r="F215" t="s">
        <v>31</v>
      </c>
      <c r="G215">
        <v>4</v>
      </c>
      <c r="H215" s="9">
        <v>391</v>
      </c>
      <c r="I215" s="12">
        <v>0</v>
      </c>
      <c r="J215" s="9">
        <v>1564</v>
      </c>
      <c r="K215" s="9">
        <v>308.18709999999999</v>
      </c>
      <c r="L215" s="12">
        <v>0.19705057544756999</v>
      </c>
      <c r="M215" t="s">
        <v>32</v>
      </c>
    </row>
    <row r="216" spans="1:13" x14ac:dyDescent="0.25">
      <c r="A216">
        <v>1475</v>
      </c>
      <c r="B216" s="3">
        <v>44605</v>
      </c>
      <c r="C216" t="s">
        <v>15</v>
      </c>
      <c r="D216" t="s">
        <v>21</v>
      </c>
      <c r="E216" t="s">
        <v>24</v>
      </c>
      <c r="F216" t="s">
        <v>28</v>
      </c>
      <c r="G216">
        <v>1</v>
      </c>
      <c r="H216" s="9">
        <v>304</v>
      </c>
      <c r="I216" s="12">
        <v>0.3</v>
      </c>
      <c r="J216" s="9">
        <v>212.8</v>
      </c>
      <c r="K216" s="9">
        <v>29.552199999999999</v>
      </c>
      <c r="L216" s="12">
        <v>0.138873120300752</v>
      </c>
      <c r="M216" t="s">
        <v>32</v>
      </c>
    </row>
    <row r="217" spans="1:13" x14ac:dyDescent="0.25">
      <c r="A217">
        <v>1875</v>
      </c>
      <c r="B217" s="3">
        <v>44614</v>
      </c>
      <c r="C217" t="s">
        <v>18</v>
      </c>
      <c r="D217" t="s">
        <v>22</v>
      </c>
      <c r="E217" t="s">
        <v>25</v>
      </c>
      <c r="F217" t="s">
        <v>30</v>
      </c>
      <c r="G217">
        <v>7</v>
      </c>
      <c r="H217" s="9">
        <v>41</v>
      </c>
      <c r="I217" s="12">
        <v>0.2</v>
      </c>
      <c r="J217" s="9">
        <v>229.6</v>
      </c>
      <c r="K217" s="9">
        <v>43.661900000000003</v>
      </c>
      <c r="L217" s="12">
        <v>0.190165069686411</v>
      </c>
      <c r="M217" t="s">
        <v>32</v>
      </c>
    </row>
    <row r="218" spans="1:13" x14ac:dyDescent="0.25">
      <c r="A218">
        <v>1128</v>
      </c>
      <c r="B218" s="3">
        <v>44699</v>
      </c>
      <c r="C218" t="s">
        <v>14</v>
      </c>
      <c r="D218" t="s">
        <v>23</v>
      </c>
      <c r="E218" t="s">
        <v>24</v>
      </c>
      <c r="F218" t="s">
        <v>30</v>
      </c>
      <c r="G218">
        <v>7</v>
      </c>
      <c r="H218" s="9">
        <v>91</v>
      </c>
      <c r="I218" s="12">
        <v>0</v>
      </c>
      <c r="J218" s="9">
        <v>637</v>
      </c>
      <c r="K218" s="9">
        <v>175.14850000000001</v>
      </c>
      <c r="L218" s="12">
        <v>0.27495839874411299</v>
      </c>
      <c r="M218" t="s">
        <v>32</v>
      </c>
    </row>
    <row r="219" spans="1:13" x14ac:dyDescent="0.25">
      <c r="A219">
        <v>1373</v>
      </c>
      <c r="B219" s="3">
        <v>44823</v>
      </c>
      <c r="C219" t="s">
        <v>19</v>
      </c>
      <c r="D219" t="s">
        <v>22</v>
      </c>
      <c r="E219" t="s">
        <v>25</v>
      </c>
      <c r="F219" t="s">
        <v>31</v>
      </c>
      <c r="G219">
        <v>1</v>
      </c>
      <c r="H219" s="9">
        <v>326</v>
      </c>
      <c r="I219" s="12">
        <v>0</v>
      </c>
      <c r="J219" s="9">
        <v>326</v>
      </c>
      <c r="K219" s="9">
        <v>60.374699999999997</v>
      </c>
      <c r="L219" s="12">
        <v>0.185198466257669</v>
      </c>
      <c r="M219" t="s">
        <v>32</v>
      </c>
    </row>
    <row r="220" spans="1:13" x14ac:dyDescent="0.25">
      <c r="A220">
        <v>1748</v>
      </c>
      <c r="B220" s="3">
        <v>44679</v>
      </c>
      <c r="C220" t="s">
        <v>14</v>
      </c>
      <c r="D220" t="s">
        <v>22</v>
      </c>
      <c r="E220" t="s">
        <v>24</v>
      </c>
      <c r="F220" t="s">
        <v>27</v>
      </c>
      <c r="G220">
        <v>5</v>
      </c>
      <c r="H220" s="9">
        <v>474</v>
      </c>
      <c r="I220" s="12">
        <v>0.1</v>
      </c>
      <c r="J220" s="9">
        <v>2133</v>
      </c>
      <c r="K220" s="9">
        <v>143.42189999999999</v>
      </c>
      <c r="L220" s="12">
        <v>6.7239521800281296E-2</v>
      </c>
      <c r="M220" t="s">
        <v>32</v>
      </c>
    </row>
    <row r="221" spans="1:13" x14ac:dyDescent="0.25">
      <c r="A221">
        <v>1064</v>
      </c>
      <c r="B221" s="3">
        <v>44694</v>
      </c>
      <c r="C221" t="s">
        <v>16</v>
      </c>
      <c r="D221" t="s">
        <v>20</v>
      </c>
      <c r="E221" t="s">
        <v>24</v>
      </c>
      <c r="F221" t="s">
        <v>31</v>
      </c>
      <c r="G221">
        <v>3</v>
      </c>
      <c r="H221" s="9">
        <v>91</v>
      </c>
      <c r="I221" s="12">
        <v>0</v>
      </c>
      <c r="J221" s="9">
        <v>273</v>
      </c>
      <c r="K221" s="9">
        <v>75.514399999999995</v>
      </c>
      <c r="L221" s="12">
        <v>0.27660952380952403</v>
      </c>
      <c r="M221" t="s">
        <v>32</v>
      </c>
    </row>
    <row r="222" spans="1:13" x14ac:dyDescent="0.25">
      <c r="A222">
        <v>1504</v>
      </c>
      <c r="B222" s="3">
        <v>44618</v>
      </c>
      <c r="C222" t="s">
        <v>15</v>
      </c>
      <c r="D222" t="s">
        <v>21</v>
      </c>
      <c r="E222" t="s">
        <v>26</v>
      </c>
      <c r="F222" t="s">
        <v>30</v>
      </c>
      <c r="G222">
        <v>2</v>
      </c>
      <c r="H222" s="9">
        <v>356</v>
      </c>
      <c r="I222" s="12">
        <v>0</v>
      </c>
      <c r="J222" s="9">
        <v>712</v>
      </c>
      <c r="K222" s="9">
        <v>83.628100000000003</v>
      </c>
      <c r="L222" s="12">
        <v>0.117455196629213</v>
      </c>
      <c r="M222" t="s">
        <v>32</v>
      </c>
    </row>
    <row r="223" spans="1:13" x14ac:dyDescent="0.25">
      <c r="A223">
        <v>1974</v>
      </c>
      <c r="B223" s="3">
        <v>44821</v>
      </c>
      <c r="C223" t="s">
        <v>17</v>
      </c>
      <c r="D223" t="s">
        <v>20</v>
      </c>
      <c r="E223" t="s">
        <v>24</v>
      </c>
      <c r="F223" t="s">
        <v>30</v>
      </c>
      <c r="G223">
        <v>3</v>
      </c>
      <c r="H223" s="9">
        <v>202</v>
      </c>
      <c r="I223" s="12">
        <v>0.2</v>
      </c>
      <c r="J223" s="9">
        <v>484.8</v>
      </c>
      <c r="K223" s="9">
        <v>128.25110000000001</v>
      </c>
      <c r="L223" s="12">
        <v>0.26454434818481798</v>
      </c>
      <c r="M223" t="s">
        <v>32</v>
      </c>
    </row>
    <row r="224" spans="1:13" x14ac:dyDescent="0.25">
      <c r="A224">
        <v>1496</v>
      </c>
      <c r="B224" s="3">
        <v>44831</v>
      </c>
      <c r="C224" t="s">
        <v>19</v>
      </c>
      <c r="D224" t="s">
        <v>20</v>
      </c>
      <c r="E224" t="s">
        <v>26</v>
      </c>
      <c r="F224" t="s">
        <v>29</v>
      </c>
      <c r="G224">
        <v>9</v>
      </c>
      <c r="H224" s="9">
        <v>371</v>
      </c>
      <c r="I224" s="12">
        <v>0</v>
      </c>
      <c r="J224" s="9">
        <v>3339</v>
      </c>
      <c r="K224" s="9">
        <v>858.33109999999999</v>
      </c>
      <c r="L224" s="12">
        <v>0.257062324049116</v>
      </c>
      <c r="M224" t="s">
        <v>32</v>
      </c>
    </row>
    <row r="225" spans="1:13" x14ac:dyDescent="0.25">
      <c r="A225">
        <v>1972</v>
      </c>
      <c r="B225" s="3">
        <v>44806</v>
      </c>
      <c r="C225" t="s">
        <v>17</v>
      </c>
      <c r="D225" t="s">
        <v>20</v>
      </c>
      <c r="E225" t="s">
        <v>25</v>
      </c>
      <c r="F225" t="s">
        <v>28</v>
      </c>
      <c r="G225">
        <v>6</v>
      </c>
      <c r="H225" s="9">
        <v>31</v>
      </c>
      <c r="I225" s="12">
        <v>0.2</v>
      </c>
      <c r="J225" s="9">
        <v>148.80000000000001</v>
      </c>
      <c r="K225" s="9">
        <v>44.048900000000003</v>
      </c>
      <c r="L225" s="12">
        <v>0.29602755376344098</v>
      </c>
      <c r="M225" t="s">
        <v>32</v>
      </c>
    </row>
    <row r="226" spans="1:13" x14ac:dyDescent="0.25">
      <c r="A226">
        <v>1052</v>
      </c>
      <c r="B226" s="3">
        <v>44858</v>
      </c>
      <c r="C226" t="s">
        <v>19</v>
      </c>
      <c r="D226" t="s">
        <v>21</v>
      </c>
      <c r="E226" t="s">
        <v>25</v>
      </c>
      <c r="F226" t="s">
        <v>27</v>
      </c>
      <c r="G226">
        <v>2</v>
      </c>
      <c r="H226" s="9">
        <v>239</v>
      </c>
      <c r="I226" s="12">
        <v>0</v>
      </c>
      <c r="J226" s="9">
        <v>478</v>
      </c>
      <c r="K226" s="9">
        <v>57.273499999999999</v>
      </c>
      <c r="L226" s="12">
        <v>0.11981903765690401</v>
      </c>
      <c r="M226" t="s">
        <v>32</v>
      </c>
    </row>
    <row r="227" spans="1:13" x14ac:dyDescent="0.25">
      <c r="A227">
        <v>1502</v>
      </c>
      <c r="B227" s="3">
        <v>44743</v>
      </c>
      <c r="C227" t="s">
        <v>15</v>
      </c>
      <c r="D227" t="s">
        <v>22</v>
      </c>
      <c r="E227" t="s">
        <v>24</v>
      </c>
      <c r="F227" t="s">
        <v>27</v>
      </c>
      <c r="G227">
        <v>5</v>
      </c>
      <c r="H227" s="9">
        <v>433</v>
      </c>
      <c r="I227" s="12">
        <v>0</v>
      </c>
      <c r="J227" s="9">
        <v>2165</v>
      </c>
      <c r="K227" s="9">
        <v>385.64210000000003</v>
      </c>
      <c r="L227" s="12">
        <v>0.178125681293303</v>
      </c>
      <c r="M227" t="s">
        <v>32</v>
      </c>
    </row>
    <row r="228" spans="1:13" x14ac:dyDescent="0.25">
      <c r="A228">
        <v>1709</v>
      </c>
      <c r="B228" s="3">
        <v>44810</v>
      </c>
      <c r="C228" t="s">
        <v>19</v>
      </c>
      <c r="D228" t="s">
        <v>23</v>
      </c>
      <c r="E228" t="s">
        <v>24</v>
      </c>
      <c r="F228" t="s">
        <v>28</v>
      </c>
      <c r="G228">
        <v>2</v>
      </c>
      <c r="H228" s="9">
        <v>262</v>
      </c>
      <c r="I228" s="12">
        <v>0</v>
      </c>
      <c r="J228" s="9">
        <v>524</v>
      </c>
      <c r="K228" s="9">
        <v>141.73249999999999</v>
      </c>
      <c r="L228" s="12">
        <v>0.27048187022900799</v>
      </c>
      <c r="M228" t="s">
        <v>32</v>
      </c>
    </row>
    <row r="229" spans="1:13" x14ac:dyDescent="0.25">
      <c r="A229">
        <v>1639</v>
      </c>
      <c r="B229" s="3">
        <v>44793</v>
      </c>
      <c r="C229" t="s">
        <v>19</v>
      </c>
      <c r="D229" t="s">
        <v>21</v>
      </c>
      <c r="E229" t="s">
        <v>25</v>
      </c>
      <c r="F229" t="s">
        <v>27</v>
      </c>
      <c r="G229">
        <v>3</v>
      </c>
      <c r="H229" s="9">
        <v>41</v>
      </c>
      <c r="I229" s="12">
        <v>0.2</v>
      </c>
      <c r="J229" s="9">
        <v>98.4</v>
      </c>
      <c r="K229" s="9">
        <v>9.8895999999999997</v>
      </c>
      <c r="L229" s="12">
        <v>0.10050406504065</v>
      </c>
      <c r="M229" t="s">
        <v>32</v>
      </c>
    </row>
    <row r="230" spans="1:13" x14ac:dyDescent="0.25">
      <c r="A230">
        <v>1378</v>
      </c>
      <c r="B230" s="3">
        <v>44710</v>
      </c>
      <c r="C230" t="s">
        <v>14</v>
      </c>
      <c r="D230" t="s">
        <v>22</v>
      </c>
      <c r="E230" t="s">
        <v>26</v>
      </c>
      <c r="F230" t="s">
        <v>27</v>
      </c>
      <c r="G230">
        <v>7</v>
      </c>
      <c r="H230" s="9">
        <v>320</v>
      </c>
      <c r="I230" s="12">
        <v>0.1</v>
      </c>
      <c r="J230" s="9">
        <v>2016</v>
      </c>
      <c r="K230" s="9">
        <v>230.09119999999999</v>
      </c>
      <c r="L230" s="12">
        <v>0.11413253968254</v>
      </c>
      <c r="M230" t="s">
        <v>32</v>
      </c>
    </row>
    <row r="231" spans="1:13" x14ac:dyDescent="0.25">
      <c r="A231">
        <v>1546</v>
      </c>
      <c r="B231" s="3">
        <v>44733</v>
      </c>
      <c r="C231" t="s">
        <v>14</v>
      </c>
      <c r="D231" t="s">
        <v>22</v>
      </c>
      <c r="E231" t="s">
        <v>24</v>
      </c>
      <c r="F231" t="s">
        <v>28</v>
      </c>
      <c r="G231">
        <v>2</v>
      </c>
      <c r="H231" s="9">
        <v>221</v>
      </c>
      <c r="I231" s="12">
        <v>0</v>
      </c>
      <c r="J231" s="9">
        <v>442</v>
      </c>
      <c r="K231" s="9">
        <v>75.658900000000003</v>
      </c>
      <c r="L231" s="12">
        <v>0.17117398190045199</v>
      </c>
      <c r="M231" t="s">
        <v>32</v>
      </c>
    </row>
    <row r="232" spans="1:13" x14ac:dyDescent="0.25">
      <c r="A232">
        <v>1241</v>
      </c>
      <c r="B232" s="3">
        <v>44631</v>
      </c>
      <c r="C232" t="s">
        <v>16</v>
      </c>
      <c r="D232" t="s">
        <v>21</v>
      </c>
      <c r="E232" t="s">
        <v>24</v>
      </c>
      <c r="F232" t="s">
        <v>29</v>
      </c>
      <c r="G232">
        <v>1</v>
      </c>
      <c r="H232" s="9">
        <v>166</v>
      </c>
      <c r="I232" s="12">
        <v>0</v>
      </c>
      <c r="J232" s="9">
        <v>166</v>
      </c>
      <c r="K232" s="9">
        <v>26.311800000000002</v>
      </c>
      <c r="L232" s="12">
        <v>0.15850481927710799</v>
      </c>
      <c r="M232" t="s">
        <v>32</v>
      </c>
    </row>
    <row r="233" spans="1:13" x14ac:dyDescent="0.25">
      <c r="A233">
        <v>1232</v>
      </c>
      <c r="B233" s="3">
        <v>44827</v>
      </c>
      <c r="C233" t="s">
        <v>17</v>
      </c>
      <c r="D233" t="s">
        <v>23</v>
      </c>
      <c r="E233" t="s">
        <v>26</v>
      </c>
      <c r="F233" t="s">
        <v>29</v>
      </c>
      <c r="G233">
        <v>4</v>
      </c>
      <c r="H233" s="9">
        <v>421</v>
      </c>
      <c r="I233" s="12">
        <v>0</v>
      </c>
      <c r="J233" s="9">
        <v>1684</v>
      </c>
      <c r="K233" s="9">
        <v>430.10910000000001</v>
      </c>
      <c r="L233" s="12">
        <v>0.25540920427553399</v>
      </c>
      <c r="M233" t="s">
        <v>32</v>
      </c>
    </row>
    <row r="234" spans="1:13" x14ac:dyDescent="0.25">
      <c r="A234">
        <v>1860</v>
      </c>
      <c r="B234" s="3">
        <v>44564</v>
      </c>
      <c r="C234" t="s">
        <v>13</v>
      </c>
      <c r="D234" t="s">
        <v>20</v>
      </c>
      <c r="E234" t="s">
        <v>26</v>
      </c>
      <c r="F234" t="s">
        <v>27</v>
      </c>
      <c r="G234">
        <v>2</v>
      </c>
      <c r="H234" s="9">
        <v>393</v>
      </c>
      <c r="I234" s="12">
        <v>0</v>
      </c>
      <c r="J234" s="9">
        <v>786</v>
      </c>
      <c r="K234" s="9">
        <v>164.3313</v>
      </c>
      <c r="L234" s="12">
        <v>0.20907290076335899</v>
      </c>
      <c r="M234" t="s">
        <v>32</v>
      </c>
    </row>
    <row r="235" spans="1:13" x14ac:dyDescent="0.25">
      <c r="A235">
        <v>1871</v>
      </c>
      <c r="B235" s="3">
        <v>44579</v>
      </c>
      <c r="C235" t="s">
        <v>15</v>
      </c>
      <c r="D235" t="s">
        <v>20</v>
      </c>
      <c r="E235" t="s">
        <v>26</v>
      </c>
      <c r="F235" t="s">
        <v>31</v>
      </c>
      <c r="G235">
        <v>6</v>
      </c>
      <c r="H235" s="9">
        <v>455</v>
      </c>
      <c r="I235" s="12">
        <v>0</v>
      </c>
      <c r="J235" s="9">
        <v>2730</v>
      </c>
      <c r="K235" s="9">
        <v>264.82690000000002</v>
      </c>
      <c r="L235" s="12">
        <v>9.7006190476190496E-2</v>
      </c>
      <c r="M235" t="s">
        <v>33</v>
      </c>
    </row>
    <row r="236" spans="1:13" x14ac:dyDescent="0.25">
      <c r="A236">
        <v>1252</v>
      </c>
      <c r="B236" s="3">
        <v>44597</v>
      </c>
      <c r="C236" t="s">
        <v>15</v>
      </c>
      <c r="D236" t="s">
        <v>21</v>
      </c>
      <c r="E236" t="s">
        <v>24</v>
      </c>
      <c r="F236" t="s">
        <v>30</v>
      </c>
      <c r="G236">
        <v>2</v>
      </c>
      <c r="H236" s="9">
        <v>304</v>
      </c>
      <c r="I236" s="12">
        <v>0</v>
      </c>
      <c r="J236" s="9">
        <v>608</v>
      </c>
      <c r="K236" s="9">
        <v>140.15479999999999</v>
      </c>
      <c r="L236" s="12">
        <v>0.23051776315789499</v>
      </c>
      <c r="M236" t="s">
        <v>32</v>
      </c>
    </row>
    <row r="237" spans="1:13" x14ac:dyDescent="0.25">
      <c r="A237">
        <v>1700</v>
      </c>
      <c r="B237" s="3">
        <v>44568</v>
      </c>
      <c r="C237" t="s">
        <v>15</v>
      </c>
      <c r="D237" t="s">
        <v>21</v>
      </c>
      <c r="E237" t="s">
        <v>26</v>
      </c>
      <c r="F237" t="s">
        <v>31</v>
      </c>
      <c r="G237">
        <v>8</v>
      </c>
      <c r="H237" s="9">
        <v>139</v>
      </c>
      <c r="I237" s="12">
        <v>0.1</v>
      </c>
      <c r="J237" s="9">
        <v>1000.8</v>
      </c>
      <c r="K237" s="9">
        <v>52.3748</v>
      </c>
      <c r="L237" s="12">
        <v>5.23329336530775E-2</v>
      </c>
      <c r="M237" t="s">
        <v>32</v>
      </c>
    </row>
    <row r="238" spans="1:13" x14ac:dyDescent="0.25">
      <c r="A238">
        <v>1020</v>
      </c>
      <c r="B238" s="3">
        <v>44569</v>
      </c>
      <c r="C238" t="s">
        <v>17</v>
      </c>
      <c r="D238" t="s">
        <v>23</v>
      </c>
      <c r="E238" t="s">
        <v>24</v>
      </c>
      <c r="F238" t="s">
        <v>28</v>
      </c>
      <c r="G238">
        <v>2</v>
      </c>
      <c r="H238" s="9">
        <v>229</v>
      </c>
      <c r="I238" s="12">
        <v>0</v>
      </c>
      <c r="J238" s="9">
        <v>458</v>
      </c>
      <c r="K238" s="9">
        <v>51.1447</v>
      </c>
      <c r="L238" s="12">
        <v>0.111669650655022</v>
      </c>
      <c r="M238" t="s">
        <v>32</v>
      </c>
    </row>
    <row r="239" spans="1:13" x14ac:dyDescent="0.25">
      <c r="A239">
        <v>1085</v>
      </c>
      <c r="B239" s="3">
        <v>44777</v>
      </c>
      <c r="C239" t="s">
        <v>18</v>
      </c>
      <c r="D239" t="s">
        <v>23</v>
      </c>
      <c r="E239" t="s">
        <v>24</v>
      </c>
      <c r="F239" t="s">
        <v>28</v>
      </c>
      <c r="G239">
        <v>2</v>
      </c>
      <c r="H239" s="9">
        <v>347</v>
      </c>
      <c r="I239" s="12">
        <v>0.2</v>
      </c>
      <c r="J239" s="9">
        <v>555.20000000000005</v>
      </c>
      <c r="K239" s="9">
        <v>137.8082</v>
      </c>
      <c r="L239" s="12">
        <v>0.24821361671469699</v>
      </c>
      <c r="M239" t="s">
        <v>33</v>
      </c>
    </row>
    <row r="240" spans="1:13" x14ac:dyDescent="0.25">
      <c r="A240">
        <v>1317</v>
      </c>
      <c r="B240" s="3">
        <v>44814</v>
      </c>
      <c r="C240" t="s">
        <v>14</v>
      </c>
      <c r="D240" t="s">
        <v>22</v>
      </c>
      <c r="E240" t="s">
        <v>26</v>
      </c>
      <c r="F240" t="s">
        <v>29</v>
      </c>
      <c r="G240">
        <v>8</v>
      </c>
      <c r="H240" s="9">
        <v>257</v>
      </c>
      <c r="I240" s="12">
        <v>0.3</v>
      </c>
      <c r="J240" s="9">
        <v>1439.2</v>
      </c>
      <c r="K240" s="9">
        <v>273.36009999999999</v>
      </c>
      <c r="L240" s="12">
        <v>0.189938924402446</v>
      </c>
      <c r="M240" t="s">
        <v>32</v>
      </c>
    </row>
    <row r="241" spans="1:13" x14ac:dyDescent="0.25">
      <c r="A241">
        <v>1384</v>
      </c>
      <c r="B241" s="3">
        <v>44854</v>
      </c>
      <c r="C241" t="s">
        <v>16</v>
      </c>
      <c r="D241" t="s">
        <v>21</v>
      </c>
      <c r="E241" t="s">
        <v>25</v>
      </c>
      <c r="F241" t="s">
        <v>27</v>
      </c>
      <c r="G241">
        <v>6</v>
      </c>
      <c r="H241" s="9">
        <v>43</v>
      </c>
      <c r="I241" s="12">
        <v>0.1</v>
      </c>
      <c r="J241" s="9">
        <v>232.2</v>
      </c>
      <c r="K241" s="9">
        <v>21.761900000000001</v>
      </c>
      <c r="L241" s="12">
        <v>9.3720499569336799E-2</v>
      </c>
      <c r="M241" t="s">
        <v>32</v>
      </c>
    </row>
    <row r="242" spans="1:13" x14ac:dyDescent="0.25">
      <c r="A242">
        <v>1189</v>
      </c>
      <c r="B242" s="3">
        <v>44798</v>
      </c>
      <c r="C242" t="s">
        <v>13</v>
      </c>
      <c r="D242" t="s">
        <v>20</v>
      </c>
      <c r="E242" t="s">
        <v>24</v>
      </c>
      <c r="F242" t="s">
        <v>28</v>
      </c>
      <c r="G242">
        <v>9</v>
      </c>
      <c r="H242" s="9">
        <v>316</v>
      </c>
      <c r="I242" s="12">
        <v>0.3</v>
      </c>
      <c r="J242" s="9">
        <v>1990.8</v>
      </c>
      <c r="K242" s="9">
        <v>318.68900000000002</v>
      </c>
      <c r="L242" s="12">
        <v>0.16008087201125201</v>
      </c>
      <c r="M242" t="s">
        <v>32</v>
      </c>
    </row>
    <row r="243" spans="1:13" x14ac:dyDescent="0.25">
      <c r="A243">
        <v>1960</v>
      </c>
      <c r="B243" s="3">
        <v>44734</v>
      </c>
      <c r="C243" t="s">
        <v>17</v>
      </c>
      <c r="D243" t="s">
        <v>23</v>
      </c>
      <c r="E243" t="s">
        <v>26</v>
      </c>
      <c r="F243" t="s">
        <v>29</v>
      </c>
      <c r="G243">
        <v>5</v>
      </c>
      <c r="H243" s="9">
        <v>443</v>
      </c>
      <c r="I243" s="12">
        <v>0</v>
      </c>
      <c r="J243" s="9">
        <v>2215</v>
      </c>
      <c r="K243" s="9">
        <v>202.54769999999999</v>
      </c>
      <c r="L243" s="12">
        <v>9.1443656884875796E-2</v>
      </c>
      <c r="M243" t="s">
        <v>33</v>
      </c>
    </row>
    <row r="244" spans="1:13" x14ac:dyDescent="0.25">
      <c r="A244">
        <v>1931</v>
      </c>
      <c r="B244" s="3">
        <v>44648</v>
      </c>
      <c r="C244" t="s">
        <v>18</v>
      </c>
      <c r="D244" t="s">
        <v>20</v>
      </c>
      <c r="E244" t="s">
        <v>26</v>
      </c>
      <c r="F244" t="s">
        <v>28</v>
      </c>
      <c r="G244">
        <v>5</v>
      </c>
      <c r="H244" s="9">
        <v>290</v>
      </c>
      <c r="I244" s="12">
        <v>0</v>
      </c>
      <c r="J244" s="9">
        <v>1450</v>
      </c>
      <c r="K244" s="9">
        <v>139.37260000000001</v>
      </c>
      <c r="L244" s="12">
        <v>9.6119034482758603E-2</v>
      </c>
      <c r="M244" t="s">
        <v>32</v>
      </c>
    </row>
    <row r="245" spans="1:13" x14ac:dyDescent="0.25">
      <c r="A245">
        <v>1270</v>
      </c>
      <c r="B245" s="3">
        <v>44670</v>
      </c>
      <c r="C245" t="s">
        <v>14</v>
      </c>
      <c r="D245" t="s">
        <v>23</v>
      </c>
      <c r="E245" t="s">
        <v>26</v>
      </c>
      <c r="F245" t="s">
        <v>30</v>
      </c>
      <c r="G245">
        <v>2</v>
      </c>
      <c r="H245" s="9">
        <v>335</v>
      </c>
      <c r="I245" s="12">
        <v>0.1</v>
      </c>
      <c r="J245" s="9">
        <v>603</v>
      </c>
      <c r="K245" s="9">
        <v>96.005200000000002</v>
      </c>
      <c r="L245" s="12">
        <v>0.15921260364842499</v>
      </c>
      <c r="M245" t="s">
        <v>32</v>
      </c>
    </row>
    <row r="246" spans="1:13" x14ac:dyDescent="0.25">
      <c r="A246">
        <v>1233</v>
      </c>
      <c r="B246" s="3">
        <v>44818</v>
      </c>
      <c r="C246" t="s">
        <v>16</v>
      </c>
      <c r="D246" t="s">
        <v>22</v>
      </c>
      <c r="E246" t="s">
        <v>25</v>
      </c>
      <c r="F246" t="s">
        <v>31</v>
      </c>
      <c r="G246">
        <v>1</v>
      </c>
      <c r="H246" s="9">
        <v>240</v>
      </c>
      <c r="I246" s="12">
        <v>0.3</v>
      </c>
      <c r="J246" s="9">
        <v>168</v>
      </c>
      <c r="K246" s="9">
        <v>11.735099999999999</v>
      </c>
      <c r="L246" s="12">
        <v>6.98517857142857E-2</v>
      </c>
      <c r="M246" t="s">
        <v>32</v>
      </c>
    </row>
    <row r="247" spans="1:13" x14ac:dyDescent="0.25">
      <c r="A247">
        <v>1027</v>
      </c>
      <c r="B247" s="3">
        <v>44786</v>
      </c>
      <c r="C247" t="s">
        <v>13</v>
      </c>
      <c r="D247" t="s">
        <v>21</v>
      </c>
      <c r="E247" t="s">
        <v>25</v>
      </c>
      <c r="F247" t="s">
        <v>29</v>
      </c>
      <c r="G247">
        <v>4</v>
      </c>
      <c r="H247" s="9">
        <v>26</v>
      </c>
      <c r="I247" s="12">
        <v>0</v>
      </c>
      <c r="J247" s="9">
        <v>104</v>
      </c>
      <c r="K247" s="9">
        <v>25.8248</v>
      </c>
      <c r="L247" s="12">
        <v>0.24831538461538499</v>
      </c>
      <c r="M247" t="s">
        <v>32</v>
      </c>
    </row>
    <row r="248" spans="1:13" x14ac:dyDescent="0.25">
      <c r="A248">
        <v>1510</v>
      </c>
      <c r="B248" s="3">
        <v>44603</v>
      </c>
      <c r="C248" t="s">
        <v>13</v>
      </c>
      <c r="D248" t="s">
        <v>22</v>
      </c>
      <c r="E248" t="s">
        <v>24</v>
      </c>
      <c r="F248" t="s">
        <v>28</v>
      </c>
      <c r="G248">
        <v>2</v>
      </c>
      <c r="H248" s="9">
        <v>290</v>
      </c>
      <c r="I248" s="12">
        <v>0</v>
      </c>
      <c r="J248" s="9">
        <v>580</v>
      </c>
      <c r="K248" s="9">
        <v>29.4666</v>
      </c>
      <c r="L248" s="12">
        <v>5.0804482758620699E-2</v>
      </c>
      <c r="M248" t="s">
        <v>33</v>
      </c>
    </row>
    <row r="249" spans="1:13" x14ac:dyDescent="0.25">
      <c r="A249">
        <v>1397</v>
      </c>
      <c r="B249" s="3">
        <v>44745</v>
      </c>
      <c r="C249" t="s">
        <v>14</v>
      </c>
      <c r="D249" t="s">
        <v>21</v>
      </c>
      <c r="E249" t="s">
        <v>24</v>
      </c>
      <c r="F249" t="s">
        <v>30</v>
      </c>
      <c r="G249">
        <v>6</v>
      </c>
      <c r="H249" s="9">
        <v>96</v>
      </c>
      <c r="I249" s="12">
        <v>0</v>
      </c>
      <c r="J249" s="9">
        <v>576</v>
      </c>
      <c r="K249" s="9">
        <v>94.930499999999995</v>
      </c>
      <c r="L249" s="12">
        <v>0.164809895833333</v>
      </c>
      <c r="M249" t="s">
        <v>32</v>
      </c>
    </row>
    <row r="250" spans="1:13" x14ac:dyDescent="0.25">
      <c r="A250">
        <v>1566</v>
      </c>
      <c r="B250" s="3">
        <v>44615</v>
      </c>
      <c r="C250" t="s">
        <v>15</v>
      </c>
      <c r="D250" t="s">
        <v>23</v>
      </c>
      <c r="E250" t="s">
        <v>25</v>
      </c>
      <c r="F250" t="s">
        <v>29</v>
      </c>
      <c r="G250">
        <v>8</v>
      </c>
      <c r="H250" s="9">
        <v>478</v>
      </c>
      <c r="I250" s="12">
        <v>0.1</v>
      </c>
      <c r="J250" s="9">
        <v>3441.6</v>
      </c>
      <c r="K250" s="9">
        <v>691.32079999999996</v>
      </c>
      <c r="L250" s="12">
        <v>0.20087192003719201</v>
      </c>
      <c r="M250" t="s">
        <v>32</v>
      </c>
    </row>
    <row r="251" spans="1:13" x14ac:dyDescent="0.25">
      <c r="A251">
        <v>1484</v>
      </c>
      <c r="B251" s="3">
        <v>44764</v>
      </c>
      <c r="C251" t="s">
        <v>14</v>
      </c>
      <c r="D251" t="s">
        <v>23</v>
      </c>
      <c r="E251" t="s">
        <v>24</v>
      </c>
      <c r="F251" t="s">
        <v>31</v>
      </c>
      <c r="G251">
        <v>8</v>
      </c>
      <c r="H251" s="9">
        <v>470</v>
      </c>
      <c r="I251" s="12">
        <v>0.3</v>
      </c>
      <c r="J251" s="9">
        <v>2632</v>
      </c>
      <c r="K251" s="9">
        <v>436.86680000000001</v>
      </c>
      <c r="L251" s="12">
        <v>0.16598282674772</v>
      </c>
      <c r="M251" t="s">
        <v>32</v>
      </c>
    </row>
    <row r="252" spans="1:13" x14ac:dyDescent="0.25">
      <c r="A252">
        <v>1804</v>
      </c>
      <c r="B252" s="3">
        <v>44727</v>
      </c>
      <c r="C252" t="s">
        <v>14</v>
      </c>
      <c r="D252" t="s">
        <v>21</v>
      </c>
      <c r="E252" t="s">
        <v>24</v>
      </c>
      <c r="F252" t="s">
        <v>30</v>
      </c>
      <c r="G252">
        <v>1</v>
      </c>
      <c r="H252" s="9">
        <v>99</v>
      </c>
      <c r="I252" s="12">
        <v>0.1</v>
      </c>
      <c r="J252" s="9">
        <v>89.1</v>
      </c>
      <c r="K252" s="9">
        <v>20.555700000000002</v>
      </c>
      <c r="L252" s="12">
        <v>0.23070370370370399</v>
      </c>
      <c r="M252" t="s">
        <v>32</v>
      </c>
    </row>
    <row r="253" spans="1:13" x14ac:dyDescent="0.25">
      <c r="A253">
        <v>1564</v>
      </c>
      <c r="B253" s="3">
        <v>44634</v>
      </c>
      <c r="C253" t="s">
        <v>15</v>
      </c>
      <c r="D253" t="s">
        <v>20</v>
      </c>
      <c r="E253" t="s">
        <v>25</v>
      </c>
      <c r="F253" t="s">
        <v>31</v>
      </c>
      <c r="G253">
        <v>2</v>
      </c>
      <c r="H253" s="9">
        <v>406</v>
      </c>
      <c r="I253" s="12">
        <v>0</v>
      </c>
      <c r="J253" s="9">
        <v>812</v>
      </c>
      <c r="K253" s="9">
        <v>162.03970000000001</v>
      </c>
      <c r="L253" s="12">
        <v>0.199556280788177</v>
      </c>
      <c r="M253" t="s">
        <v>32</v>
      </c>
    </row>
    <row r="254" spans="1:13" x14ac:dyDescent="0.25">
      <c r="A254">
        <v>1130</v>
      </c>
      <c r="B254" s="3">
        <v>44619</v>
      </c>
      <c r="C254" t="s">
        <v>18</v>
      </c>
      <c r="D254" t="s">
        <v>22</v>
      </c>
      <c r="E254" t="s">
        <v>24</v>
      </c>
      <c r="F254" t="s">
        <v>27</v>
      </c>
      <c r="G254">
        <v>7</v>
      </c>
      <c r="H254" s="9">
        <v>401</v>
      </c>
      <c r="I254" s="12">
        <v>0.1</v>
      </c>
      <c r="J254" s="9">
        <v>2526.3000000000002</v>
      </c>
      <c r="K254" s="9">
        <v>647.39559999999994</v>
      </c>
      <c r="L254" s="12">
        <v>0.256262359973083</v>
      </c>
      <c r="M254" t="s">
        <v>32</v>
      </c>
    </row>
    <row r="255" spans="1:13" x14ac:dyDescent="0.25">
      <c r="A255">
        <v>1372</v>
      </c>
      <c r="B255" s="3">
        <v>44577</v>
      </c>
      <c r="C255" t="s">
        <v>17</v>
      </c>
      <c r="D255" t="s">
        <v>21</v>
      </c>
      <c r="E255" t="s">
        <v>25</v>
      </c>
      <c r="F255" t="s">
        <v>30</v>
      </c>
      <c r="G255">
        <v>7</v>
      </c>
      <c r="H255" s="9">
        <v>270</v>
      </c>
      <c r="I255" s="12">
        <v>0.2</v>
      </c>
      <c r="J255" s="9">
        <v>1512</v>
      </c>
      <c r="K255" s="9">
        <v>352.70089999999999</v>
      </c>
      <c r="L255" s="12">
        <v>0.23326779100529099</v>
      </c>
      <c r="M255" t="s">
        <v>32</v>
      </c>
    </row>
    <row r="256" spans="1:13" x14ac:dyDescent="0.25">
      <c r="A256">
        <v>1156</v>
      </c>
      <c r="B256" s="3">
        <v>44691</v>
      </c>
      <c r="C256" t="s">
        <v>19</v>
      </c>
      <c r="D256" t="s">
        <v>21</v>
      </c>
      <c r="E256" t="s">
        <v>25</v>
      </c>
      <c r="F256" t="s">
        <v>27</v>
      </c>
      <c r="G256">
        <v>7</v>
      </c>
      <c r="H256" s="9">
        <v>136</v>
      </c>
      <c r="I256" s="12">
        <v>0.1</v>
      </c>
      <c r="J256" s="9">
        <v>856.8</v>
      </c>
      <c r="K256" s="9">
        <v>147.27770000000001</v>
      </c>
      <c r="L256" s="12">
        <v>0.171892740429505</v>
      </c>
      <c r="M256" t="s">
        <v>32</v>
      </c>
    </row>
    <row r="257" spans="1:13" x14ac:dyDescent="0.25">
      <c r="A257">
        <v>1276</v>
      </c>
      <c r="B257" s="3">
        <v>44592</v>
      </c>
      <c r="C257" t="s">
        <v>17</v>
      </c>
      <c r="D257" t="s">
        <v>22</v>
      </c>
      <c r="E257" t="s">
        <v>25</v>
      </c>
      <c r="F257" t="s">
        <v>31</v>
      </c>
      <c r="G257">
        <v>6</v>
      </c>
      <c r="H257" s="9">
        <v>77</v>
      </c>
      <c r="I257" s="12">
        <v>0</v>
      </c>
      <c r="J257" s="9">
        <v>462</v>
      </c>
      <c r="K257" s="9">
        <v>58.397300000000001</v>
      </c>
      <c r="L257" s="12">
        <v>0.12640108225108199</v>
      </c>
      <c r="M257" t="s">
        <v>32</v>
      </c>
    </row>
    <row r="258" spans="1:13" x14ac:dyDescent="0.25">
      <c r="A258">
        <v>1224</v>
      </c>
      <c r="B258" s="3">
        <v>44853</v>
      </c>
      <c r="C258" t="s">
        <v>18</v>
      </c>
      <c r="D258" t="s">
        <v>21</v>
      </c>
      <c r="E258" t="s">
        <v>25</v>
      </c>
      <c r="F258" t="s">
        <v>29</v>
      </c>
      <c r="G258">
        <v>5</v>
      </c>
      <c r="H258" s="9">
        <v>464</v>
      </c>
      <c r="I258" s="12">
        <v>0.3</v>
      </c>
      <c r="J258" s="9">
        <v>1624</v>
      </c>
      <c r="K258" s="9">
        <v>109.4743</v>
      </c>
      <c r="L258" s="12">
        <v>6.7410283251231495E-2</v>
      </c>
      <c r="M258" t="s">
        <v>32</v>
      </c>
    </row>
    <row r="259" spans="1:13" x14ac:dyDescent="0.25">
      <c r="A259">
        <v>1797</v>
      </c>
      <c r="B259" s="3">
        <v>44790</v>
      </c>
      <c r="C259" t="s">
        <v>14</v>
      </c>
      <c r="D259" t="s">
        <v>23</v>
      </c>
      <c r="E259" t="s">
        <v>25</v>
      </c>
      <c r="F259" t="s">
        <v>31</v>
      </c>
      <c r="G259">
        <v>8</v>
      </c>
      <c r="H259" s="9">
        <v>407</v>
      </c>
      <c r="I259" s="12">
        <v>0.3</v>
      </c>
      <c r="J259" s="9">
        <v>2279.1999999999998</v>
      </c>
      <c r="K259" s="9">
        <v>271.74020000000002</v>
      </c>
      <c r="L259" s="12">
        <v>0.11922613197613199</v>
      </c>
      <c r="M259" t="s">
        <v>32</v>
      </c>
    </row>
    <row r="260" spans="1:13" x14ac:dyDescent="0.25">
      <c r="A260">
        <v>1035</v>
      </c>
      <c r="B260" s="3">
        <v>44771</v>
      </c>
      <c r="C260" t="s">
        <v>18</v>
      </c>
      <c r="D260" t="s">
        <v>21</v>
      </c>
      <c r="E260" t="s">
        <v>26</v>
      </c>
      <c r="F260" t="s">
        <v>27</v>
      </c>
      <c r="G260">
        <v>9</v>
      </c>
      <c r="H260" s="9">
        <v>242</v>
      </c>
      <c r="I260" s="12">
        <v>0.1</v>
      </c>
      <c r="J260" s="9">
        <v>1960.2</v>
      </c>
      <c r="K260" s="9">
        <v>284.4348</v>
      </c>
      <c r="L260" s="12">
        <v>0.14510498928680701</v>
      </c>
      <c r="M260" t="s">
        <v>32</v>
      </c>
    </row>
    <row r="261" spans="1:13" x14ac:dyDescent="0.25">
      <c r="A261">
        <v>1385</v>
      </c>
      <c r="B261" s="3">
        <v>44837</v>
      </c>
      <c r="C261" t="s">
        <v>18</v>
      </c>
      <c r="D261" t="s">
        <v>21</v>
      </c>
      <c r="E261" t="s">
        <v>26</v>
      </c>
      <c r="F261" t="s">
        <v>27</v>
      </c>
      <c r="G261">
        <v>4</v>
      </c>
      <c r="H261" s="9">
        <v>221</v>
      </c>
      <c r="I261" s="12">
        <v>0.3</v>
      </c>
      <c r="J261" s="9">
        <v>618.79999999999995</v>
      </c>
      <c r="K261" s="9">
        <v>68.048500000000004</v>
      </c>
      <c r="L261" s="12">
        <v>0.109968487394958</v>
      </c>
      <c r="M261" t="s">
        <v>32</v>
      </c>
    </row>
    <row r="262" spans="1:13" x14ac:dyDescent="0.25">
      <c r="A262">
        <v>1230</v>
      </c>
      <c r="B262" s="3">
        <v>44797</v>
      </c>
      <c r="C262" t="s">
        <v>13</v>
      </c>
      <c r="D262" t="s">
        <v>22</v>
      </c>
      <c r="E262" t="s">
        <v>24</v>
      </c>
      <c r="F262" t="s">
        <v>27</v>
      </c>
      <c r="G262">
        <v>8</v>
      </c>
      <c r="H262" s="9">
        <v>146</v>
      </c>
      <c r="I262" s="12">
        <v>0.1</v>
      </c>
      <c r="J262" s="9">
        <v>1051.2</v>
      </c>
      <c r="K262" s="9">
        <v>92.533000000000001</v>
      </c>
      <c r="L262" s="12">
        <v>8.8026065449010593E-2</v>
      </c>
      <c r="M262" t="s">
        <v>32</v>
      </c>
    </row>
    <row r="263" spans="1:13" x14ac:dyDescent="0.25">
      <c r="A263">
        <v>1555</v>
      </c>
      <c r="B263" s="3">
        <v>44788</v>
      </c>
      <c r="C263" t="s">
        <v>14</v>
      </c>
      <c r="D263" t="s">
        <v>23</v>
      </c>
      <c r="E263" t="s">
        <v>25</v>
      </c>
      <c r="F263" t="s">
        <v>30</v>
      </c>
      <c r="G263">
        <v>2</v>
      </c>
      <c r="H263" s="9">
        <v>103</v>
      </c>
      <c r="I263" s="12">
        <v>0.1</v>
      </c>
      <c r="J263" s="9">
        <v>185.4</v>
      </c>
      <c r="K263" s="9">
        <v>49.000300000000003</v>
      </c>
      <c r="L263" s="12">
        <v>0.264295037756203</v>
      </c>
      <c r="M263" t="s">
        <v>32</v>
      </c>
    </row>
    <row r="264" spans="1:13" x14ac:dyDescent="0.25">
      <c r="A264">
        <v>1818</v>
      </c>
      <c r="B264" s="3">
        <v>44817</v>
      </c>
      <c r="C264" t="s">
        <v>17</v>
      </c>
      <c r="D264" t="s">
        <v>21</v>
      </c>
      <c r="E264" t="s">
        <v>24</v>
      </c>
      <c r="F264" t="s">
        <v>31</v>
      </c>
      <c r="G264">
        <v>8</v>
      </c>
      <c r="H264" s="9">
        <v>411</v>
      </c>
      <c r="I264" s="12">
        <v>0</v>
      </c>
      <c r="J264" s="9">
        <v>3288</v>
      </c>
      <c r="K264" s="9">
        <v>896.19209999999998</v>
      </c>
      <c r="L264" s="12">
        <v>0.27256450729927001</v>
      </c>
      <c r="M264" t="s">
        <v>32</v>
      </c>
    </row>
    <row r="265" spans="1:13" x14ac:dyDescent="0.25">
      <c r="A265">
        <v>1674</v>
      </c>
      <c r="B265" s="3">
        <v>44707</v>
      </c>
      <c r="C265" t="s">
        <v>19</v>
      </c>
      <c r="D265" t="s">
        <v>23</v>
      </c>
      <c r="E265" t="s">
        <v>26</v>
      </c>
      <c r="F265" t="s">
        <v>27</v>
      </c>
      <c r="G265">
        <v>2</v>
      </c>
      <c r="H265" s="9">
        <v>185</v>
      </c>
      <c r="I265" s="12">
        <v>0.1</v>
      </c>
      <c r="J265" s="9">
        <v>333</v>
      </c>
      <c r="K265" s="9">
        <v>38.308100000000003</v>
      </c>
      <c r="L265" s="12">
        <v>0.11503933933933901</v>
      </c>
      <c r="M265" t="s">
        <v>33</v>
      </c>
    </row>
    <row r="266" spans="1:13" x14ac:dyDescent="0.25">
      <c r="A266">
        <v>1058</v>
      </c>
      <c r="B266" s="3">
        <v>44602</v>
      </c>
      <c r="C266" t="s">
        <v>16</v>
      </c>
      <c r="D266" t="s">
        <v>23</v>
      </c>
      <c r="E266" t="s">
        <v>26</v>
      </c>
      <c r="F266" t="s">
        <v>27</v>
      </c>
      <c r="G266">
        <v>5</v>
      </c>
      <c r="H266" s="9">
        <v>58</v>
      </c>
      <c r="I266" s="12">
        <v>0.2</v>
      </c>
      <c r="J266" s="9">
        <v>232</v>
      </c>
      <c r="K266" s="9">
        <v>51.945900000000002</v>
      </c>
      <c r="L266" s="12">
        <v>0.22390474137930999</v>
      </c>
      <c r="M266" t="s">
        <v>32</v>
      </c>
    </row>
    <row r="267" spans="1:13" x14ac:dyDescent="0.25">
      <c r="A267">
        <v>1385</v>
      </c>
      <c r="B267" s="3">
        <v>44589</v>
      </c>
      <c r="C267" t="s">
        <v>16</v>
      </c>
      <c r="D267" t="s">
        <v>22</v>
      </c>
      <c r="E267" t="s">
        <v>24</v>
      </c>
      <c r="F267" t="s">
        <v>27</v>
      </c>
      <c r="G267">
        <v>6</v>
      </c>
      <c r="H267" s="9">
        <v>435</v>
      </c>
      <c r="I267" s="12">
        <v>0.1</v>
      </c>
      <c r="J267" s="9">
        <v>2349</v>
      </c>
      <c r="K267" s="9">
        <v>333.52319999999997</v>
      </c>
      <c r="L267" s="12">
        <v>0.14198518518518499</v>
      </c>
      <c r="M267" t="s">
        <v>32</v>
      </c>
    </row>
    <row r="268" spans="1:13" x14ac:dyDescent="0.25">
      <c r="A268">
        <v>1806</v>
      </c>
      <c r="B268" s="3">
        <v>44836</v>
      </c>
      <c r="C268" t="s">
        <v>17</v>
      </c>
      <c r="D268" t="s">
        <v>21</v>
      </c>
      <c r="E268" t="s">
        <v>25</v>
      </c>
      <c r="F268" t="s">
        <v>29</v>
      </c>
      <c r="G268">
        <v>2</v>
      </c>
      <c r="H268" s="9">
        <v>431</v>
      </c>
      <c r="I268" s="12">
        <v>0</v>
      </c>
      <c r="J268" s="9">
        <v>862</v>
      </c>
      <c r="K268" s="9">
        <v>64.787400000000005</v>
      </c>
      <c r="L268" s="12">
        <v>7.5159396751740104E-2</v>
      </c>
      <c r="M268" t="s">
        <v>32</v>
      </c>
    </row>
    <row r="269" spans="1:13" x14ac:dyDescent="0.25">
      <c r="A269">
        <v>1471</v>
      </c>
      <c r="B269" s="3">
        <v>44701</v>
      </c>
      <c r="C269" t="s">
        <v>14</v>
      </c>
      <c r="D269" t="s">
        <v>20</v>
      </c>
      <c r="E269" t="s">
        <v>24</v>
      </c>
      <c r="F269" t="s">
        <v>27</v>
      </c>
      <c r="G269">
        <v>7</v>
      </c>
      <c r="H269" s="9">
        <v>293</v>
      </c>
      <c r="I269" s="12">
        <v>0</v>
      </c>
      <c r="J269" s="9">
        <v>2051</v>
      </c>
      <c r="K269" s="9">
        <v>442.90820000000002</v>
      </c>
      <c r="L269" s="12">
        <v>0.215947440273038</v>
      </c>
      <c r="M269" t="s">
        <v>32</v>
      </c>
    </row>
    <row r="270" spans="1:13" x14ac:dyDescent="0.25">
      <c r="A270">
        <v>1524</v>
      </c>
      <c r="B270" s="3">
        <v>44772</v>
      </c>
      <c r="C270" t="s">
        <v>17</v>
      </c>
      <c r="D270" t="s">
        <v>21</v>
      </c>
      <c r="E270" t="s">
        <v>25</v>
      </c>
      <c r="F270" t="s">
        <v>28</v>
      </c>
      <c r="G270">
        <v>3</v>
      </c>
      <c r="H270" s="9">
        <v>435</v>
      </c>
      <c r="I270" s="12">
        <v>0.3</v>
      </c>
      <c r="J270" s="9">
        <v>913.5</v>
      </c>
      <c r="K270" s="9">
        <v>222.80539999999999</v>
      </c>
      <c r="L270" s="12">
        <v>0.243903010399562</v>
      </c>
      <c r="M270" t="s">
        <v>32</v>
      </c>
    </row>
    <row r="271" spans="1:13" x14ac:dyDescent="0.25">
      <c r="A271">
        <v>1661</v>
      </c>
      <c r="B271" s="3">
        <v>44582</v>
      </c>
      <c r="C271" t="s">
        <v>14</v>
      </c>
      <c r="D271" t="s">
        <v>20</v>
      </c>
      <c r="E271" t="s">
        <v>26</v>
      </c>
      <c r="F271" t="s">
        <v>27</v>
      </c>
      <c r="G271">
        <v>4</v>
      </c>
      <c r="H271" s="9">
        <v>26</v>
      </c>
      <c r="I271" s="12">
        <v>0</v>
      </c>
      <c r="J271" s="9">
        <v>104</v>
      </c>
      <c r="K271" s="9">
        <v>19.6099</v>
      </c>
      <c r="L271" s="12">
        <v>0.18855673076923099</v>
      </c>
      <c r="M271" t="s">
        <v>32</v>
      </c>
    </row>
    <row r="272" spans="1:13" x14ac:dyDescent="0.25">
      <c r="A272">
        <v>1899</v>
      </c>
      <c r="B272" s="3">
        <v>44762</v>
      </c>
      <c r="C272" t="s">
        <v>15</v>
      </c>
      <c r="D272" t="s">
        <v>20</v>
      </c>
      <c r="E272" t="s">
        <v>24</v>
      </c>
      <c r="F272" t="s">
        <v>28</v>
      </c>
      <c r="G272">
        <v>1</v>
      </c>
      <c r="H272" s="9">
        <v>478</v>
      </c>
      <c r="I272" s="12">
        <v>0.1</v>
      </c>
      <c r="J272" s="9">
        <v>430.2</v>
      </c>
      <c r="K272" s="9">
        <v>24.431899999999999</v>
      </c>
      <c r="L272" s="12">
        <v>5.6791957229195701E-2</v>
      </c>
      <c r="M272" t="s">
        <v>33</v>
      </c>
    </row>
    <row r="273" spans="1:13" x14ac:dyDescent="0.25">
      <c r="A273">
        <v>1105</v>
      </c>
      <c r="B273" s="3">
        <v>44655</v>
      </c>
      <c r="C273" t="s">
        <v>15</v>
      </c>
      <c r="D273" t="s">
        <v>21</v>
      </c>
      <c r="E273" t="s">
        <v>25</v>
      </c>
      <c r="F273" t="s">
        <v>30</v>
      </c>
      <c r="G273">
        <v>1</v>
      </c>
      <c r="H273" s="9">
        <v>164</v>
      </c>
      <c r="I273" s="12">
        <v>0</v>
      </c>
      <c r="J273" s="9">
        <v>164</v>
      </c>
      <c r="K273" s="9">
        <v>29.441199999999998</v>
      </c>
      <c r="L273" s="12">
        <v>0.17951951219512199</v>
      </c>
      <c r="M273" t="s">
        <v>32</v>
      </c>
    </row>
    <row r="274" spans="1:13" x14ac:dyDescent="0.25">
      <c r="A274">
        <v>1466</v>
      </c>
      <c r="B274" s="3">
        <v>44572</v>
      </c>
      <c r="C274" t="s">
        <v>13</v>
      </c>
      <c r="D274" t="s">
        <v>20</v>
      </c>
      <c r="E274" t="s">
        <v>24</v>
      </c>
      <c r="F274" t="s">
        <v>30</v>
      </c>
      <c r="G274">
        <v>9</v>
      </c>
      <c r="H274" s="9">
        <v>211</v>
      </c>
      <c r="I274" s="12">
        <v>0.1</v>
      </c>
      <c r="J274" s="9">
        <v>1709.1</v>
      </c>
      <c r="K274" s="9">
        <v>127.8313</v>
      </c>
      <c r="L274" s="12">
        <v>7.4794511731320595E-2</v>
      </c>
      <c r="M274" t="s">
        <v>32</v>
      </c>
    </row>
    <row r="275" spans="1:13" x14ac:dyDescent="0.25">
      <c r="A275">
        <v>1343</v>
      </c>
      <c r="B275" s="3">
        <v>44585</v>
      </c>
      <c r="C275" t="s">
        <v>13</v>
      </c>
      <c r="D275" t="s">
        <v>21</v>
      </c>
      <c r="E275" t="s">
        <v>24</v>
      </c>
      <c r="F275" t="s">
        <v>28</v>
      </c>
      <c r="G275">
        <v>2</v>
      </c>
      <c r="H275" s="9">
        <v>52</v>
      </c>
      <c r="I275" s="12">
        <v>0</v>
      </c>
      <c r="J275" s="9">
        <v>104</v>
      </c>
      <c r="K275" s="9">
        <v>6.1181000000000001</v>
      </c>
      <c r="L275" s="12">
        <v>5.8827884615384601E-2</v>
      </c>
      <c r="M275" t="s">
        <v>32</v>
      </c>
    </row>
    <row r="276" spans="1:13" x14ac:dyDescent="0.25">
      <c r="A276">
        <v>1555</v>
      </c>
      <c r="B276" s="3">
        <v>44662</v>
      </c>
      <c r="C276" t="s">
        <v>13</v>
      </c>
      <c r="D276" t="s">
        <v>21</v>
      </c>
      <c r="E276" t="s">
        <v>25</v>
      </c>
      <c r="F276" t="s">
        <v>29</v>
      </c>
      <c r="G276">
        <v>5</v>
      </c>
      <c r="H276" s="9">
        <v>69</v>
      </c>
      <c r="I276" s="12">
        <v>0.1</v>
      </c>
      <c r="J276" s="9">
        <v>310.5</v>
      </c>
      <c r="K276" s="9">
        <v>29.9711</v>
      </c>
      <c r="L276" s="12">
        <v>9.6525281803542695E-2</v>
      </c>
      <c r="M276" t="s">
        <v>32</v>
      </c>
    </row>
    <row r="277" spans="1:13" x14ac:dyDescent="0.25">
      <c r="A277">
        <v>1330</v>
      </c>
      <c r="B277" s="3">
        <v>44574</v>
      </c>
      <c r="C277" t="s">
        <v>14</v>
      </c>
      <c r="D277" t="s">
        <v>21</v>
      </c>
      <c r="E277" t="s">
        <v>26</v>
      </c>
      <c r="F277" t="s">
        <v>29</v>
      </c>
      <c r="G277">
        <v>6</v>
      </c>
      <c r="H277" s="9">
        <v>304</v>
      </c>
      <c r="I277" s="12">
        <v>0.3</v>
      </c>
      <c r="J277" s="9">
        <v>1276.8</v>
      </c>
      <c r="K277" s="9">
        <v>319.22269999999997</v>
      </c>
      <c r="L277" s="12">
        <v>0.250017778822055</v>
      </c>
      <c r="M277" t="s">
        <v>32</v>
      </c>
    </row>
    <row r="278" spans="1:13" x14ac:dyDescent="0.25">
      <c r="A278">
        <v>1472</v>
      </c>
      <c r="B278" s="3">
        <v>44796</v>
      </c>
      <c r="C278" t="s">
        <v>13</v>
      </c>
      <c r="D278" t="s">
        <v>22</v>
      </c>
      <c r="E278" t="s">
        <v>24</v>
      </c>
      <c r="F278" t="s">
        <v>31</v>
      </c>
      <c r="G278">
        <v>9</v>
      </c>
      <c r="H278" s="9">
        <v>22</v>
      </c>
      <c r="I278" s="12">
        <v>0.2</v>
      </c>
      <c r="J278" s="9">
        <v>158.4</v>
      </c>
      <c r="K278" s="9">
        <v>33.83</v>
      </c>
      <c r="L278" s="12">
        <v>0.213573232323232</v>
      </c>
      <c r="M278" t="s">
        <v>33</v>
      </c>
    </row>
    <row r="279" spans="1:13" x14ac:dyDescent="0.25">
      <c r="A279">
        <v>1838</v>
      </c>
      <c r="B279" s="3">
        <v>44774</v>
      </c>
      <c r="C279" t="s">
        <v>14</v>
      </c>
      <c r="D279" t="s">
        <v>20</v>
      </c>
      <c r="E279" t="s">
        <v>25</v>
      </c>
      <c r="F279" t="s">
        <v>27</v>
      </c>
      <c r="G279">
        <v>1</v>
      </c>
      <c r="H279" s="9">
        <v>389</v>
      </c>
      <c r="I279" s="12">
        <v>0.2</v>
      </c>
      <c r="J279" s="9">
        <v>311.2</v>
      </c>
      <c r="K279" s="9">
        <v>31.413</v>
      </c>
      <c r="L279" s="12">
        <v>0.100941516709512</v>
      </c>
      <c r="M279" t="s">
        <v>32</v>
      </c>
    </row>
    <row r="280" spans="1:13" x14ac:dyDescent="0.25">
      <c r="A280">
        <v>1769</v>
      </c>
      <c r="B280" s="3">
        <v>44584</v>
      </c>
      <c r="C280" t="s">
        <v>16</v>
      </c>
      <c r="D280" t="s">
        <v>20</v>
      </c>
      <c r="E280" t="s">
        <v>26</v>
      </c>
      <c r="F280" t="s">
        <v>27</v>
      </c>
      <c r="G280">
        <v>6</v>
      </c>
      <c r="H280" s="9">
        <v>414</v>
      </c>
      <c r="I280" s="12">
        <v>0</v>
      </c>
      <c r="J280" s="9">
        <v>2484</v>
      </c>
      <c r="K280" s="9">
        <v>596.77530000000002</v>
      </c>
      <c r="L280" s="12">
        <v>0.24024770531400999</v>
      </c>
      <c r="M280" t="s">
        <v>32</v>
      </c>
    </row>
    <row r="281" spans="1:13" x14ac:dyDescent="0.25">
      <c r="A281">
        <v>1612</v>
      </c>
      <c r="B281" s="3">
        <v>44736</v>
      </c>
      <c r="C281" t="s">
        <v>17</v>
      </c>
      <c r="D281" t="s">
        <v>22</v>
      </c>
      <c r="E281" t="s">
        <v>25</v>
      </c>
      <c r="F281" t="s">
        <v>30</v>
      </c>
      <c r="G281">
        <v>1</v>
      </c>
      <c r="H281" s="9">
        <v>261</v>
      </c>
      <c r="I281" s="12">
        <v>0</v>
      </c>
      <c r="J281" s="9">
        <v>261</v>
      </c>
      <c r="K281" s="9">
        <v>68.510900000000007</v>
      </c>
      <c r="L281" s="12">
        <v>0.262493869731801</v>
      </c>
      <c r="M281" t="s">
        <v>32</v>
      </c>
    </row>
    <row r="282" spans="1:13" x14ac:dyDescent="0.25">
      <c r="A282">
        <v>1878</v>
      </c>
      <c r="B282" s="3">
        <v>44681</v>
      </c>
      <c r="C282" t="s">
        <v>16</v>
      </c>
      <c r="D282" t="s">
        <v>23</v>
      </c>
      <c r="E282" t="s">
        <v>25</v>
      </c>
      <c r="F282" t="s">
        <v>29</v>
      </c>
      <c r="G282">
        <v>9</v>
      </c>
      <c r="H282" s="9">
        <v>401</v>
      </c>
      <c r="I282" s="12">
        <v>0.3</v>
      </c>
      <c r="J282" s="9">
        <v>2526.3000000000002</v>
      </c>
      <c r="K282" s="9">
        <v>304.53730000000002</v>
      </c>
      <c r="L282" s="12">
        <v>0.12054676800063301</v>
      </c>
      <c r="M282" t="s">
        <v>32</v>
      </c>
    </row>
    <row r="283" spans="1:13" x14ac:dyDescent="0.25">
      <c r="A283">
        <v>1795</v>
      </c>
      <c r="B283" s="3">
        <v>44778</v>
      </c>
      <c r="C283" t="s">
        <v>17</v>
      </c>
      <c r="D283" t="s">
        <v>21</v>
      </c>
      <c r="E283" t="s">
        <v>24</v>
      </c>
      <c r="F283" t="s">
        <v>28</v>
      </c>
      <c r="G283">
        <v>1</v>
      </c>
      <c r="H283" s="9">
        <v>197</v>
      </c>
      <c r="I283" s="12">
        <v>0</v>
      </c>
      <c r="J283" s="9">
        <v>197</v>
      </c>
      <c r="K283" s="9">
        <v>38.296500000000002</v>
      </c>
      <c r="L283" s="12">
        <v>0.19439847715736</v>
      </c>
      <c r="M283" t="s">
        <v>32</v>
      </c>
    </row>
    <row r="284" spans="1:13" x14ac:dyDescent="0.25">
      <c r="A284">
        <v>1577</v>
      </c>
      <c r="B284" s="3">
        <v>44779</v>
      </c>
      <c r="C284" t="s">
        <v>14</v>
      </c>
      <c r="D284" t="s">
        <v>21</v>
      </c>
      <c r="E284" t="s">
        <v>24</v>
      </c>
      <c r="F284" t="s">
        <v>29</v>
      </c>
      <c r="G284">
        <v>8</v>
      </c>
      <c r="H284" s="9">
        <v>367</v>
      </c>
      <c r="I284" s="12">
        <v>0.3</v>
      </c>
      <c r="J284" s="9">
        <v>2055.1999999999998</v>
      </c>
      <c r="K284" s="9">
        <v>428.80840000000001</v>
      </c>
      <c r="L284" s="12">
        <v>0.208645581938498</v>
      </c>
      <c r="M284" t="s">
        <v>33</v>
      </c>
    </row>
    <row r="285" spans="1:13" x14ac:dyDescent="0.25">
      <c r="A285">
        <v>1794</v>
      </c>
      <c r="B285" s="3">
        <v>44747</v>
      </c>
      <c r="C285" t="s">
        <v>19</v>
      </c>
      <c r="D285" t="s">
        <v>22</v>
      </c>
      <c r="E285" t="s">
        <v>26</v>
      </c>
      <c r="F285" t="s">
        <v>30</v>
      </c>
      <c r="G285">
        <v>8</v>
      </c>
      <c r="H285" s="9">
        <v>173</v>
      </c>
      <c r="I285" s="12">
        <v>0.2</v>
      </c>
      <c r="J285" s="9">
        <v>1107.2</v>
      </c>
      <c r="K285" s="9">
        <v>273.0018</v>
      </c>
      <c r="L285" s="12">
        <v>0.246569544797688</v>
      </c>
      <c r="M285" t="s">
        <v>32</v>
      </c>
    </row>
    <row r="286" spans="1:13" x14ac:dyDescent="0.25">
      <c r="A286">
        <v>1768</v>
      </c>
      <c r="B286" s="3">
        <v>44740</v>
      </c>
      <c r="C286" t="s">
        <v>18</v>
      </c>
      <c r="D286" t="s">
        <v>20</v>
      </c>
      <c r="E286" t="s">
        <v>24</v>
      </c>
      <c r="F286" t="s">
        <v>30</v>
      </c>
      <c r="G286">
        <v>9</v>
      </c>
      <c r="H286" s="9">
        <v>308</v>
      </c>
      <c r="I286" s="12">
        <v>0.2</v>
      </c>
      <c r="J286" s="9">
        <v>2217.6</v>
      </c>
      <c r="K286" s="9">
        <v>471.77969999999999</v>
      </c>
      <c r="L286" s="12">
        <v>0.212743371212121</v>
      </c>
      <c r="M286" t="s">
        <v>32</v>
      </c>
    </row>
    <row r="287" spans="1:13" x14ac:dyDescent="0.25">
      <c r="A287">
        <v>1831</v>
      </c>
      <c r="B287" s="3">
        <v>44617</v>
      </c>
      <c r="C287" t="s">
        <v>13</v>
      </c>
      <c r="D287" t="s">
        <v>21</v>
      </c>
      <c r="E287" t="s">
        <v>26</v>
      </c>
      <c r="F287" t="s">
        <v>28</v>
      </c>
      <c r="G287">
        <v>6</v>
      </c>
      <c r="H287" s="9">
        <v>214</v>
      </c>
      <c r="I287" s="12">
        <v>0.1</v>
      </c>
      <c r="J287" s="9">
        <v>1155.5999999999999</v>
      </c>
      <c r="K287" s="9">
        <v>290.34129999999999</v>
      </c>
      <c r="L287" s="12">
        <v>0.25124723087573603</v>
      </c>
      <c r="M287" t="s">
        <v>32</v>
      </c>
    </row>
    <row r="288" spans="1:13" x14ac:dyDescent="0.25">
      <c r="A288">
        <v>1726</v>
      </c>
      <c r="B288" s="3">
        <v>44673</v>
      </c>
      <c r="C288" t="s">
        <v>14</v>
      </c>
      <c r="D288" t="s">
        <v>21</v>
      </c>
      <c r="E288" t="s">
        <v>25</v>
      </c>
      <c r="F288" t="s">
        <v>31</v>
      </c>
      <c r="G288">
        <v>7</v>
      </c>
      <c r="H288" s="9">
        <v>423</v>
      </c>
      <c r="I288" s="12">
        <v>0.2</v>
      </c>
      <c r="J288" s="9">
        <v>2368.8000000000002</v>
      </c>
      <c r="K288" s="9">
        <v>212.5454</v>
      </c>
      <c r="L288" s="12">
        <v>8.9727034785545404E-2</v>
      </c>
      <c r="M288" t="s">
        <v>32</v>
      </c>
    </row>
    <row r="289" spans="1:13" x14ac:dyDescent="0.25">
      <c r="A289">
        <v>1240</v>
      </c>
      <c r="B289" s="3">
        <v>44759</v>
      </c>
      <c r="C289" t="s">
        <v>13</v>
      </c>
      <c r="D289" t="s">
        <v>21</v>
      </c>
      <c r="E289" t="s">
        <v>26</v>
      </c>
      <c r="F289" t="s">
        <v>27</v>
      </c>
      <c r="G289">
        <v>2</v>
      </c>
      <c r="H289" s="9">
        <v>447</v>
      </c>
      <c r="I289" s="12">
        <v>0.3</v>
      </c>
      <c r="J289" s="9">
        <v>625.79999999999995</v>
      </c>
      <c r="K289" s="9">
        <v>101.88639999999999</v>
      </c>
      <c r="L289" s="12">
        <v>0.16280984340044699</v>
      </c>
      <c r="M289" t="s">
        <v>32</v>
      </c>
    </row>
    <row r="290" spans="1:13" x14ac:dyDescent="0.25">
      <c r="A290">
        <v>1461</v>
      </c>
      <c r="B290" s="3">
        <v>44738</v>
      </c>
      <c r="C290" t="s">
        <v>18</v>
      </c>
      <c r="D290" t="s">
        <v>21</v>
      </c>
      <c r="E290" t="s">
        <v>26</v>
      </c>
      <c r="F290" t="s">
        <v>28</v>
      </c>
      <c r="G290">
        <v>9</v>
      </c>
      <c r="H290" s="9">
        <v>21</v>
      </c>
      <c r="I290" s="12">
        <v>0.1</v>
      </c>
      <c r="J290" s="9">
        <v>170.1</v>
      </c>
      <c r="K290" s="9">
        <v>28.164100000000001</v>
      </c>
      <c r="L290" s="12">
        <v>0.16557378012933599</v>
      </c>
      <c r="M290" t="s">
        <v>32</v>
      </c>
    </row>
    <row r="291" spans="1:13" x14ac:dyDescent="0.25">
      <c r="A291">
        <v>1942</v>
      </c>
      <c r="B291" s="3">
        <v>44644</v>
      </c>
      <c r="C291" t="s">
        <v>15</v>
      </c>
      <c r="D291" t="s">
        <v>21</v>
      </c>
      <c r="E291" t="s">
        <v>26</v>
      </c>
      <c r="F291" t="s">
        <v>28</v>
      </c>
      <c r="G291">
        <v>7</v>
      </c>
      <c r="H291" s="9">
        <v>300</v>
      </c>
      <c r="I291" s="12">
        <v>0.3</v>
      </c>
      <c r="J291" s="9">
        <v>1470</v>
      </c>
      <c r="K291" s="9">
        <v>382.12729999999999</v>
      </c>
      <c r="L291" s="12">
        <v>0.25995054421768699</v>
      </c>
      <c r="M291" t="s">
        <v>32</v>
      </c>
    </row>
    <row r="292" spans="1:13" x14ac:dyDescent="0.25">
      <c r="A292">
        <v>1062</v>
      </c>
      <c r="B292" s="3">
        <v>44702</v>
      </c>
      <c r="C292" t="s">
        <v>19</v>
      </c>
      <c r="D292" t="s">
        <v>21</v>
      </c>
      <c r="E292" t="s">
        <v>25</v>
      </c>
      <c r="F292" t="s">
        <v>30</v>
      </c>
      <c r="G292">
        <v>8</v>
      </c>
      <c r="H292" s="9">
        <v>497</v>
      </c>
      <c r="I292" s="12">
        <v>0</v>
      </c>
      <c r="J292" s="9">
        <v>3976</v>
      </c>
      <c r="K292" s="9">
        <v>1156.4141</v>
      </c>
      <c r="L292" s="12">
        <v>0.29084861670020101</v>
      </c>
      <c r="M292" t="s">
        <v>32</v>
      </c>
    </row>
    <row r="293" spans="1:13" x14ac:dyDescent="0.25">
      <c r="A293">
        <v>1729</v>
      </c>
      <c r="B293" s="3">
        <v>44661</v>
      </c>
      <c r="C293" t="s">
        <v>19</v>
      </c>
      <c r="D293" t="s">
        <v>23</v>
      </c>
      <c r="E293" t="s">
        <v>25</v>
      </c>
      <c r="F293" t="s">
        <v>27</v>
      </c>
      <c r="G293">
        <v>8</v>
      </c>
      <c r="H293" s="9">
        <v>193</v>
      </c>
      <c r="I293" s="12">
        <v>0.3</v>
      </c>
      <c r="J293" s="9">
        <v>1080.8</v>
      </c>
      <c r="K293" s="9">
        <v>281.53039999999999</v>
      </c>
      <c r="L293" s="12">
        <v>0.26048334566987402</v>
      </c>
      <c r="M293" t="s">
        <v>32</v>
      </c>
    </row>
    <row r="294" spans="1:13" x14ac:dyDescent="0.25">
      <c r="A294">
        <v>1502</v>
      </c>
      <c r="B294" s="3">
        <v>44723</v>
      </c>
      <c r="C294" t="s">
        <v>18</v>
      </c>
      <c r="D294" t="s">
        <v>21</v>
      </c>
      <c r="E294" t="s">
        <v>25</v>
      </c>
      <c r="F294" t="s">
        <v>31</v>
      </c>
      <c r="G294">
        <v>9</v>
      </c>
      <c r="H294" s="9">
        <v>396</v>
      </c>
      <c r="I294" s="12">
        <v>0</v>
      </c>
      <c r="J294" s="9">
        <v>3564</v>
      </c>
      <c r="K294" s="9">
        <v>678.24950000000001</v>
      </c>
      <c r="L294" s="12">
        <v>0.19030569584736201</v>
      </c>
      <c r="M294" t="s">
        <v>32</v>
      </c>
    </row>
    <row r="295" spans="1:13" x14ac:dyDescent="0.25">
      <c r="A295">
        <v>1343</v>
      </c>
      <c r="B295" s="3">
        <v>44698</v>
      </c>
      <c r="C295" t="s">
        <v>13</v>
      </c>
      <c r="D295" t="s">
        <v>23</v>
      </c>
      <c r="E295" t="s">
        <v>25</v>
      </c>
      <c r="F295" t="s">
        <v>30</v>
      </c>
      <c r="G295">
        <v>8</v>
      </c>
      <c r="H295" s="9">
        <v>228</v>
      </c>
      <c r="I295" s="12">
        <v>0.2</v>
      </c>
      <c r="J295" s="9">
        <v>1459.2</v>
      </c>
      <c r="K295" s="9">
        <v>199.67080000000001</v>
      </c>
      <c r="L295" s="12">
        <v>0.136835800438596</v>
      </c>
      <c r="M295" t="s">
        <v>33</v>
      </c>
    </row>
    <row r="296" spans="1:13" x14ac:dyDescent="0.25">
      <c r="A296">
        <v>1418</v>
      </c>
      <c r="B296" s="3">
        <v>44708</v>
      </c>
      <c r="C296" t="s">
        <v>19</v>
      </c>
      <c r="D296" t="s">
        <v>21</v>
      </c>
      <c r="E296" t="s">
        <v>24</v>
      </c>
      <c r="F296" t="s">
        <v>31</v>
      </c>
      <c r="G296">
        <v>1</v>
      </c>
      <c r="H296" s="9">
        <v>51</v>
      </c>
      <c r="I296" s="12">
        <v>0.3</v>
      </c>
      <c r="J296" s="9">
        <v>35.700000000000003</v>
      </c>
      <c r="K296" s="9">
        <v>8.3076000000000008</v>
      </c>
      <c r="L296" s="12">
        <v>0.23270588235294101</v>
      </c>
      <c r="M296" t="s">
        <v>32</v>
      </c>
    </row>
    <row r="297" spans="1:13" x14ac:dyDescent="0.25">
      <c r="A297">
        <v>1862</v>
      </c>
      <c r="B297" s="3">
        <v>44668</v>
      </c>
      <c r="C297" t="s">
        <v>16</v>
      </c>
      <c r="D297" t="s">
        <v>21</v>
      </c>
      <c r="E297" t="s">
        <v>24</v>
      </c>
      <c r="F297" t="s">
        <v>28</v>
      </c>
      <c r="G297">
        <v>8</v>
      </c>
      <c r="H297" s="9">
        <v>200</v>
      </c>
      <c r="I297" s="12">
        <v>0.1</v>
      </c>
      <c r="J297" s="9">
        <v>1440</v>
      </c>
      <c r="K297" s="9">
        <v>334.0582</v>
      </c>
      <c r="L297" s="12">
        <v>0.231984861111111</v>
      </c>
      <c r="M297" t="s">
        <v>32</v>
      </c>
    </row>
    <row r="298" spans="1:13" x14ac:dyDescent="0.25">
      <c r="A298">
        <v>1273</v>
      </c>
      <c r="B298" s="3">
        <v>44626</v>
      </c>
      <c r="C298" t="s">
        <v>17</v>
      </c>
      <c r="D298" t="s">
        <v>23</v>
      </c>
      <c r="E298" t="s">
        <v>24</v>
      </c>
      <c r="F298" t="s">
        <v>28</v>
      </c>
      <c r="G298">
        <v>4</v>
      </c>
      <c r="H298" s="9">
        <v>483</v>
      </c>
      <c r="I298" s="12">
        <v>0.3</v>
      </c>
      <c r="J298" s="9">
        <v>1352.4</v>
      </c>
      <c r="K298" s="9">
        <v>334.25069999999999</v>
      </c>
      <c r="L298" s="12">
        <v>0.24715372670807401</v>
      </c>
      <c r="M298" t="s">
        <v>33</v>
      </c>
    </row>
    <row r="299" spans="1:13" x14ac:dyDescent="0.25">
      <c r="A299">
        <v>1052</v>
      </c>
      <c r="B299" s="3">
        <v>44682</v>
      </c>
      <c r="C299" t="s">
        <v>18</v>
      </c>
      <c r="D299" t="s">
        <v>22</v>
      </c>
      <c r="E299" t="s">
        <v>25</v>
      </c>
      <c r="F299" t="s">
        <v>29</v>
      </c>
      <c r="G299">
        <v>3</v>
      </c>
      <c r="H299" s="9">
        <v>255</v>
      </c>
      <c r="I299" s="12">
        <v>0.1</v>
      </c>
      <c r="J299" s="9">
        <v>688.5</v>
      </c>
      <c r="K299" s="9">
        <v>79.471100000000007</v>
      </c>
      <c r="L299" s="12">
        <v>0.115426434277415</v>
      </c>
      <c r="M299" t="s">
        <v>32</v>
      </c>
    </row>
    <row r="300" spans="1:13" x14ac:dyDescent="0.25">
      <c r="A300">
        <v>1647</v>
      </c>
      <c r="B300" s="3">
        <v>44700</v>
      </c>
      <c r="C300" t="s">
        <v>19</v>
      </c>
      <c r="D300" t="s">
        <v>21</v>
      </c>
      <c r="E300" t="s">
        <v>25</v>
      </c>
      <c r="F300" t="s">
        <v>31</v>
      </c>
      <c r="G300">
        <v>7</v>
      </c>
      <c r="H300" s="9">
        <v>296</v>
      </c>
      <c r="I300" s="12">
        <v>0.3</v>
      </c>
      <c r="J300" s="9">
        <v>1450.4</v>
      </c>
      <c r="K300" s="9">
        <v>80.433199999999999</v>
      </c>
      <c r="L300" s="12">
        <v>5.5455874241588501E-2</v>
      </c>
      <c r="M300" t="s">
        <v>32</v>
      </c>
    </row>
    <row r="301" spans="1:13" x14ac:dyDescent="0.25">
      <c r="A301">
        <v>1200</v>
      </c>
      <c r="B301" s="3">
        <v>44717</v>
      </c>
      <c r="C301" t="s">
        <v>17</v>
      </c>
      <c r="D301" t="s">
        <v>23</v>
      </c>
      <c r="E301" t="s">
        <v>25</v>
      </c>
      <c r="F301" t="s">
        <v>27</v>
      </c>
      <c r="G301">
        <v>4</v>
      </c>
      <c r="H301" s="9">
        <v>233</v>
      </c>
      <c r="I301" s="12">
        <v>0</v>
      </c>
      <c r="J301" s="9">
        <v>932</v>
      </c>
      <c r="K301" s="9">
        <v>128.035</v>
      </c>
      <c r="L301" s="12">
        <v>0.13737660944206001</v>
      </c>
      <c r="M301" t="s">
        <v>32</v>
      </c>
    </row>
    <row r="302" spans="1:13" x14ac:dyDescent="0.25">
      <c r="A302">
        <v>1839</v>
      </c>
      <c r="B302" s="3">
        <v>44718</v>
      </c>
      <c r="C302" t="s">
        <v>19</v>
      </c>
      <c r="D302" t="s">
        <v>23</v>
      </c>
      <c r="E302" t="s">
        <v>25</v>
      </c>
      <c r="F302" t="s">
        <v>30</v>
      </c>
      <c r="G302">
        <v>1</v>
      </c>
      <c r="H302" s="9">
        <v>198</v>
      </c>
      <c r="I302" s="12">
        <v>0</v>
      </c>
      <c r="J302" s="9">
        <v>198</v>
      </c>
      <c r="K302" s="9">
        <v>15.547700000000001</v>
      </c>
      <c r="L302" s="12">
        <v>7.8523737373737398E-2</v>
      </c>
      <c r="M302" t="s">
        <v>32</v>
      </c>
    </row>
    <row r="303" spans="1:13" x14ac:dyDescent="0.25">
      <c r="A303">
        <v>1607</v>
      </c>
      <c r="B303" s="3">
        <v>44825</v>
      </c>
      <c r="C303" t="s">
        <v>19</v>
      </c>
      <c r="D303" t="s">
        <v>21</v>
      </c>
      <c r="E303" t="s">
        <v>24</v>
      </c>
      <c r="F303" t="s">
        <v>27</v>
      </c>
      <c r="G303">
        <v>9</v>
      </c>
      <c r="H303" s="9">
        <v>101</v>
      </c>
      <c r="I303" s="12">
        <v>0</v>
      </c>
      <c r="J303" s="9">
        <v>909</v>
      </c>
      <c r="K303" s="9">
        <v>116.8861</v>
      </c>
      <c r="L303" s="12">
        <v>0.12858756875687599</v>
      </c>
      <c r="M303" t="s">
        <v>32</v>
      </c>
    </row>
    <row r="304" spans="1:13" x14ac:dyDescent="0.25">
      <c r="A304">
        <v>1561</v>
      </c>
      <c r="B304" s="3">
        <v>44649</v>
      </c>
      <c r="C304" t="s">
        <v>14</v>
      </c>
      <c r="D304" t="s">
        <v>20</v>
      </c>
      <c r="E304" t="s">
        <v>26</v>
      </c>
      <c r="F304" t="s">
        <v>30</v>
      </c>
      <c r="G304">
        <v>3</v>
      </c>
      <c r="H304" s="9">
        <v>227</v>
      </c>
      <c r="I304" s="12">
        <v>0.3</v>
      </c>
      <c r="J304" s="9">
        <v>476.7</v>
      </c>
      <c r="K304" s="9">
        <v>67.004400000000004</v>
      </c>
      <c r="L304" s="12">
        <v>0.140558842039018</v>
      </c>
      <c r="M304" t="s">
        <v>32</v>
      </c>
    </row>
    <row r="305" spans="1:13" x14ac:dyDescent="0.25">
      <c r="A305">
        <v>1540</v>
      </c>
      <c r="B305" s="3">
        <v>44770</v>
      </c>
      <c r="C305" t="s">
        <v>18</v>
      </c>
      <c r="D305" t="s">
        <v>20</v>
      </c>
      <c r="E305" t="s">
        <v>26</v>
      </c>
      <c r="F305" t="s">
        <v>28</v>
      </c>
      <c r="G305">
        <v>1</v>
      </c>
      <c r="H305" s="9">
        <v>378</v>
      </c>
      <c r="I305" s="12">
        <v>0.2</v>
      </c>
      <c r="J305" s="9">
        <v>302.39999999999998</v>
      </c>
      <c r="K305" s="9">
        <v>77.271000000000001</v>
      </c>
      <c r="L305" s="12">
        <v>0.25552579365079398</v>
      </c>
      <c r="M305" t="s">
        <v>33</v>
      </c>
    </row>
    <row r="306" spans="1:13" x14ac:dyDescent="0.25">
      <c r="A306">
        <v>1402</v>
      </c>
      <c r="B306" s="3">
        <v>44855</v>
      </c>
      <c r="C306" t="s">
        <v>19</v>
      </c>
      <c r="D306" t="s">
        <v>20</v>
      </c>
      <c r="E306" t="s">
        <v>26</v>
      </c>
      <c r="F306" t="s">
        <v>31</v>
      </c>
      <c r="G306">
        <v>4</v>
      </c>
      <c r="H306" s="9">
        <v>423</v>
      </c>
      <c r="I306" s="12">
        <v>0</v>
      </c>
      <c r="J306" s="9">
        <v>1692</v>
      </c>
      <c r="K306" s="9">
        <v>446.57690000000002</v>
      </c>
      <c r="L306" s="12">
        <v>0.26393433806146599</v>
      </c>
      <c r="M306" t="s">
        <v>32</v>
      </c>
    </row>
    <row r="307" spans="1:13" x14ac:dyDescent="0.25">
      <c r="A307">
        <v>1698</v>
      </c>
      <c r="B307" s="3">
        <v>44775</v>
      </c>
      <c r="C307" t="s">
        <v>16</v>
      </c>
      <c r="D307" t="s">
        <v>22</v>
      </c>
      <c r="E307" t="s">
        <v>25</v>
      </c>
      <c r="F307" t="s">
        <v>27</v>
      </c>
      <c r="G307">
        <v>3</v>
      </c>
      <c r="H307" s="9">
        <v>223</v>
      </c>
      <c r="I307" s="12">
        <v>0</v>
      </c>
      <c r="J307" s="9">
        <v>669</v>
      </c>
      <c r="K307" s="9">
        <v>120.9769</v>
      </c>
      <c r="L307" s="12">
        <v>0.18083243647234701</v>
      </c>
      <c r="M307" t="s">
        <v>32</v>
      </c>
    </row>
    <row r="308" spans="1:13" x14ac:dyDescent="0.25">
      <c r="A308">
        <v>1821</v>
      </c>
      <c r="B308" s="3">
        <v>44657</v>
      </c>
      <c r="C308" t="s">
        <v>15</v>
      </c>
      <c r="D308" t="s">
        <v>21</v>
      </c>
      <c r="E308" t="s">
        <v>24</v>
      </c>
      <c r="F308" t="s">
        <v>29</v>
      </c>
      <c r="G308">
        <v>7</v>
      </c>
      <c r="H308" s="9">
        <v>328</v>
      </c>
      <c r="I308" s="12">
        <v>0</v>
      </c>
      <c r="J308" s="9">
        <v>2296</v>
      </c>
      <c r="K308" s="9">
        <v>654.74990000000003</v>
      </c>
      <c r="L308" s="12">
        <v>0.28516981707317102</v>
      </c>
      <c r="M308" t="s">
        <v>32</v>
      </c>
    </row>
    <row r="309" spans="1:13" x14ac:dyDescent="0.25">
      <c r="A309">
        <v>1509</v>
      </c>
      <c r="B309" s="3">
        <v>44835</v>
      </c>
      <c r="C309" t="s">
        <v>15</v>
      </c>
      <c r="D309" t="s">
        <v>23</v>
      </c>
      <c r="E309" t="s">
        <v>25</v>
      </c>
      <c r="F309" t="s">
        <v>27</v>
      </c>
      <c r="G309">
        <v>7</v>
      </c>
      <c r="H309" s="9">
        <v>150</v>
      </c>
      <c r="I309" s="12">
        <v>0.2</v>
      </c>
      <c r="J309" s="9">
        <v>840</v>
      </c>
      <c r="K309" s="9">
        <v>215.4554</v>
      </c>
      <c r="L309" s="12">
        <v>0.25649452380952398</v>
      </c>
      <c r="M309" t="s">
        <v>32</v>
      </c>
    </row>
    <row r="310" spans="1:13" x14ac:dyDescent="0.25">
      <c r="A310">
        <v>1027</v>
      </c>
      <c r="B310" s="3">
        <v>44715</v>
      </c>
      <c r="C310" t="s">
        <v>15</v>
      </c>
      <c r="D310" t="s">
        <v>20</v>
      </c>
      <c r="E310" t="s">
        <v>26</v>
      </c>
      <c r="F310" t="s">
        <v>30</v>
      </c>
      <c r="G310">
        <v>3</v>
      </c>
      <c r="H310" s="9">
        <v>411</v>
      </c>
      <c r="I310" s="12">
        <v>0</v>
      </c>
      <c r="J310" s="9">
        <v>1233</v>
      </c>
      <c r="K310" s="9">
        <v>361.2706</v>
      </c>
      <c r="L310" s="12">
        <v>0.29300129764801303</v>
      </c>
      <c r="M310" t="s">
        <v>32</v>
      </c>
    </row>
    <row r="311" spans="1:13" x14ac:dyDescent="0.25">
      <c r="A311">
        <v>1282</v>
      </c>
      <c r="B311" s="3">
        <v>44802</v>
      </c>
      <c r="C311" t="s">
        <v>14</v>
      </c>
      <c r="D311" t="s">
        <v>20</v>
      </c>
      <c r="E311" t="s">
        <v>26</v>
      </c>
      <c r="F311" t="s">
        <v>30</v>
      </c>
      <c r="G311">
        <v>6</v>
      </c>
      <c r="H311" s="9">
        <v>478</v>
      </c>
      <c r="I311" s="12">
        <v>0</v>
      </c>
      <c r="J311" s="9">
        <v>2868</v>
      </c>
      <c r="K311" s="9">
        <v>719.58370000000002</v>
      </c>
      <c r="L311" s="12">
        <v>0.25090087168758701</v>
      </c>
      <c r="M311" t="s">
        <v>32</v>
      </c>
    </row>
    <row r="312" spans="1:13" x14ac:dyDescent="0.25">
      <c r="A312">
        <v>1454</v>
      </c>
      <c r="B312" s="3">
        <v>44640</v>
      </c>
      <c r="C312" t="s">
        <v>13</v>
      </c>
      <c r="D312" t="s">
        <v>22</v>
      </c>
      <c r="E312" t="s">
        <v>25</v>
      </c>
      <c r="F312" t="s">
        <v>28</v>
      </c>
      <c r="G312">
        <v>1</v>
      </c>
      <c r="H312" s="9">
        <v>181</v>
      </c>
      <c r="I312" s="12">
        <v>0.3</v>
      </c>
      <c r="J312" s="9">
        <v>126.7</v>
      </c>
      <c r="K312" s="9">
        <v>26.485900000000001</v>
      </c>
      <c r="L312" s="12">
        <v>0.20904419889502801</v>
      </c>
      <c r="M312" t="s">
        <v>32</v>
      </c>
    </row>
    <row r="313" spans="1:13" x14ac:dyDescent="0.25">
      <c r="A313">
        <v>1957</v>
      </c>
      <c r="B313" s="3">
        <v>44610</v>
      </c>
      <c r="C313" t="s">
        <v>18</v>
      </c>
      <c r="D313" t="s">
        <v>23</v>
      </c>
      <c r="E313" t="s">
        <v>24</v>
      </c>
      <c r="F313" t="s">
        <v>28</v>
      </c>
      <c r="G313">
        <v>5</v>
      </c>
      <c r="H313" s="9">
        <v>149</v>
      </c>
      <c r="I313" s="12">
        <v>0</v>
      </c>
      <c r="J313" s="9">
        <v>745</v>
      </c>
      <c r="K313" s="9">
        <v>156.88310000000001</v>
      </c>
      <c r="L313" s="12">
        <v>0.210581342281879</v>
      </c>
      <c r="M313" t="s">
        <v>33</v>
      </c>
    </row>
    <row r="314" spans="1:13" x14ac:dyDescent="0.25">
      <c r="A314">
        <v>1406</v>
      </c>
      <c r="B314" s="3">
        <v>44765</v>
      </c>
      <c r="C314" t="s">
        <v>13</v>
      </c>
      <c r="D314" t="s">
        <v>20</v>
      </c>
      <c r="E314" t="s">
        <v>25</v>
      </c>
      <c r="F314" t="s">
        <v>30</v>
      </c>
      <c r="G314">
        <v>6</v>
      </c>
      <c r="H314" s="9">
        <v>142</v>
      </c>
      <c r="I314" s="12">
        <v>0</v>
      </c>
      <c r="J314" s="9">
        <v>852</v>
      </c>
      <c r="K314" s="9">
        <v>236.26390000000001</v>
      </c>
      <c r="L314" s="12">
        <v>0.277305046948357</v>
      </c>
      <c r="M314" t="s">
        <v>32</v>
      </c>
    </row>
    <row r="315" spans="1:13" x14ac:dyDescent="0.25">
      <c r="A315">
        <v>1339</v>
      </c>
      <c r="B315" s="3">
        <v>44636</v>
      </c>
      <c r="C315" t="s">
        <v>16</v>
      </c>
      <c r="D315" t="s">
        <v>21</v>
      </c>
      <c r="E315" t="s">
        <v>26</v>
      </c>
      <c r="F315" t="s">
        <v>27</v>
      </c>
      <c r="G315">
        <v>9</v>
      </c>
      <c r="H315" s="9">
        <v>77</v>
      </c>
      <c r="I315" s="12">
        <v>0</v>
      </c>
      <c r="J315" s="9">
        <v>693</v>
      </c>
      <c r="K315" s="9">
        <v>207.61369999999999</v>
      </c>
      <c r="L315" s="12">
        <v>0.29958686868686901</v>
      </c>
      <c r="M315" t="s">
        <v>33</v>
      </c>
    </row>
    <row r="316" spans="1:13" x14ac:dyDescent="0.25">
      <c r="A316">
        <v>1379</v>
      </c>
      <c r="B316" s="3">
        <v>44688</v>
      </c>
      <c r="C316" t="s">
        <v>15</v>
      </c>
      <c r="D316" t="s">
        <v>22</v>
      </c>
      <c r="E316" t="s">
        <v>24</v>
      </c>
      <c r="F316" t="s">
        <v>31</v>
      </c>
      <c r="G316">
        <v>7</v>
      </c>
      <c r="H316" s="9">
        <v>463</v>
      </c>
      <c r="I316" s="12">
        <v>0</v>
      </c>
      <c r="J316" s="9">
        <v>3241</v>
      </c>
      <c r="K316" s="9">
        <v>526.45169999999996</v>
      </c>
      <c r="L316" s="12">
        <v>0.16243495834618901</v>
      </c>
      <c r="M316" t="s">
        <v>32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8D53D-F403-4BA6-92BE-84EA91712355}">
  <dimension ref="A1:O159"/>
  <sheetViews>
    <sheetView topLeftCell="A134" zoomScaleNormal="100" workbookViewId="0">
      <selection activeCell="F166" sqref="F166"/>
    </sheetView>
  </sheetViews>
  <sheetFormatPr defaultRowHeight="15" x14ac:dyDescent="0.25"/>
  <cols>
    <col min="1" max="1" width="16.42578125" bestFit="1" customWidth="1"/>
    <col min="2" max="2" width="17.5703125" bestFit="1" customWidth="1"/>
    <col min="3" max="3" width="4.140625" bestFit="1" customWidth="1"/>
    <col min="4" max="4" width="11.28515625" bestFit="1" customWidth="1"/>
    <col min="5" max="5" width="9.5703125" bestFit="1" customWidth="1"/>
    <col min="6" max="6" width="4.140625" bestFit="1" customWidth="1"/>
    <col min="7" max="7" width="12.5703125" bestFit="1" customWidth="1"/>
    <col min="8" max="8" width="8.28515625" bestFit="1" customWidth="1"/>
    <col min="9" max="9" width="4.140625" bestFit="1" customWidth="1"/>
    <col min="10" max="10" width="11.28515625" bestFit="1" customWidth="1"/>
    <col min="11" max="11" width="9.42578125" bestFit="1" customWidth="1"/>
    <col min="12" max="12" width="4.140625" bestFit="1" customWidth="1"/>
    <col min="13" max="13" width="12.42578125" bestFit="1" customWidth="1"/>
    <col min="14" max="14" width="8.5703125" bestFit="1" customWidth="1"/>
    <col min="15" max="15" width="4.140625" bestFit="1" customWidth="1"/>
    <col min="16" max="16" width="11.5703125" bestFit="1" customWidth="1"/>
    <col min="17" max="17" width="11.28515625" bestFit="1" customWidth="1"/>
    <col min="18" max="18" width="13" bestFit="1" customWidth="1"/>
    <col min="19" max="19" width="16.140625" bestFit="1" customWidth="1"/>
    <col min="20" max="20" width="12.5703125" bestFit="1" customWidth="1"/>
    <col min="21" max="22" width="11.140625" bestFit="1" customWidth="1"/>
    <col min="23" max="23" width="14.28515625" bestFit="1" customWidth="1"/>
    <col min="24" max="25" width="16.42578125" bestFit="1" customWidth="1"/>
    <col min="26" max="26" width="19.5703125" bestFit="1" customWidth="1"/>
    <col min="27" max="27" width="13" bestFit="1" customWidth="1"/>
    <col min="28" max="28" width="16.140625" bestFit="1" customWidth="1"/>
    <col min="29" max="29" width="11.28515625" bestFit="1" customWidth="1"/>
    <col min="30" max="31" width="11.140625" bestFit="1" customWidth="1"/>
    <col min="32" max="32" width="14.28515625" bestFit="1" customWidth="1"/>
    <col min="33" max="34" width="16.42578125" bestFit="1" customWidth="1"/>
    <col min="35" max="35" width="19.5703125" bestFit="1" customWidth="1"/>
    <col min="36" max="36" width="13" bestFit="1" customWidth="1"/>
    <col min="37" max="37" width="16.140625" bestFit="1" customWidth="1"/>
    <col min="38" max="38" width="12.42578125" bestFit="1" customWidth="1"/>
    <col min="39" max="40" width="11.140625" bestFit="1" customWidth="1"/>
    <col min="41" max="41" width="14.28515625" bestFit="1" customWidth="1"/>
    <col min="42" max="42" width="16.42578125" bestFit="1" customWidth="1"/>
    <col min="43" max="43" width="19.5703125" bestFit="1" customWidth="1"/>
    <col min="44" max="45" width="13" bestFit="1" customWidth="1"/>
    <col min="46" max="46" width="16.140625" bestFit="1" customWidth="1"/>
    <col min="47" max="47" width="11.5703125" bestFit="1" customWidth="1"/>
    <col min="48" max="48" width="11.28515625" bestFit="1" customWidth="1"/>
    <col min="49" max="288" width="16.28515625" bestFit="1" customWidth="1"/>
    <col min="289" max="289" width="12.42578125" bestFit="1" customWidth="1"/>
  </cols>
  <sheetData>
    <row r="1" spans="1:15" ht="28.5" x14ac:dyDescent="0.45">
      <c r="A1" s="15" t="s">
        <v>47</v>
      </c>
      <c r="B1" s="15"/>
      <c r="C1" s="15"/>
      <c r="D1" s="15"/>
    </row>
    <row r="3" spans="1:15" x14ac:dyDescent="0.25">
      <c r="A3" s="4" t="s">
        <v>43</v>
      </c>
      <c r="B3" t="s">
        <v>45</v>
      </c>
      <c r="C3" t="s">
        <v>46</v>
      </c>
    </row>
    <row r="4" spans="1:15" x14ac:dyDescent="0.25">
      <c r="A4" s="5" t="s">
        <v>22</v>
      </c>
      <c r="B4" s="10">
        <v>84372.999999999971</v>
      </c>
      <c r="C4" s="10">
        <v>14812.976399999996</v>
      </c>
    </row>
    <row r="5" spans="1:15" x14ac:dyDescent="0.25">
      <c r="A5" s="5" t="s">
        <v>21</v>
      </c>
      <c r="B5" s="10">
        <v>115189.6</v>
      </c>
      <c r="C5" s="10">
        <v>21505.487100000002</v>
      </c>
    </row>
    <row r="6" spans="1:15" x14ac:dyDescent="0.25">
      <c r="A6" s="5" t="s">
        <v>23</v>
      </c>
      <c r="B6" s="10">
        <v>87376.3</v>
      </c>
      <c r="C6" s="10">
        <v>14612.556299999997</v>
      </c>
    </row>
    <row r="7" spans="1:15" x14ac:dyDescent="0.25">
      <c r="A7" s="5" t="s">
        <v>20</v>
      </c>
      <c r="B7" s="10">
        <v>82836.60000000002</v>
      </c>
      <c r="C7" s="10">
        <v>15547.192399999996</v>
      </c>
    </row>
    <row r="8" spans="1:15" x14ac:dyDescent="0.25">
      <c r="A8" s="5" t="s">
        <v>44</v>
      </c>
      <c r="B8" s="9">
        <v>369775.5</v>
      </c>
      <c r="C8" s="9">
        <v>66478.212199999994</v>
      </c>
    </row>
    <row r="9" spans="1:15" x14ac:dyDescent="0.25">
      <c r="O9" s="14">
        <v>1</v>
      </c>
    </row>
    <row r="10" spans="1:15" x14ac:dyDescent="0.25">
      <c r="O10" s="14"/>
    </row>
    <row r="21" spans="1:15" ht="28.5" x14ac:dyDescent="0.45">
      <c r="A21" s="16" t="s">
        <v>48</v>
      </c>
      <c r="B21" s="16"/>
      <c r="C21" s="16"/>
      <c r="D21" s="16"/>
      <c r="E21" s="16"/>
      <c r="F21" s="16"/>
      <c r="G21" s="16"/>
    </row>
    <row r="23" spans="1:15" x14ac:dyDescent="0.25">
      <c r="A23" s="4" t="s">
        <v>43</v>
      </c>
      <c r="B23" t="s">
        <v>45</v>
      </c>
      <c r="C23" t="s">
        <v>46</v>
      </c>
    </row>
    <row r="24" spans="1:15" x14ac:dyDescent="0.25">
      <c r="A24" s="5" t="s">
        <v>26</v>
      </c>
      <c r="B24" s="10">
        <v>130524.79999999999</v>
      </c>
      <c r="C24" s="10">
        <v>23763.231099999997</v>
      </c>
    </row>
    <row r="25" spans="1:15" x14ac:dyDescent="0.25">
      <c r="A25" s="6" t="s">
        <v>29</v>
      </c>
      <c r="B25" s="10">
        <v>25199.600000000002</v>
      </c>
      <c r="C25" s="10">
        <v>4343.3575000000001</v>
      </c>
    </row>
    <row r="26" spans="1:15" x14ac:dyDescent="0.25">
      <c r="A26" s="6" t="s">
        <v>31</v>
      </c>
      <c r="B26" s="10">
        <v>22324.699999999997</v>
      </c>
      <c r="C26" s="10">
        <v>2620.8861999999999</v>
      </c>
    </row>
    <row r="27" spans="1:15" x14ac:dyDescent="0.25">
      <c r="A27" s="6" t="s">
        <v>28</v>
      </c>
      <c r="B27" s="10">
        <v>30276.499999999996</v>
      </c>
      <c r="C27" s="10">
        <v>6431.9593999999997</v>
      </c>
    </row>
    <row r="28" spans="1:15" x14ac:dyDescent="0.25">
      <c r="A28" s="6" t="s">
        <v>27</v>
      </c>
      <c r="B28" s="10">
        <v>26586.1</v>
      </c>
      <c r="C28" s="10">
        <v>4699.9035999999996</v>
      </c>
    </row>
    <row r="29" spans="1:15" x14ac:dyDescent="0.25">
      <c r="A29" s="6" t="s">
        <v>30</v>
      </c>
      <c r="B29" s="10">
        <v>26137.9</v>
      </c>
      <c r="C29" s="10">
        <v>5667.1243999999988</v>
      </c>
      <c r="O29" s="14">
        <v>2</v>
      </c>
    </row>
    <row r="30" spans="1:15" x14ac:dyDescent="0.25">
      <c r="A30" s="5" t="s">
        <v>24</v>
      </c>
      <c r="B30" s="10">
        <v>134672.6</v>
      </c>
      <c r="C30" s="10">
        <v>24743.054699999997</v>
      </c>
      <c r="O30" s="14"/>
    </row>
    <row r="31" spans="1:15" x14ac:dyDescent="0.25">
      <c r="A31" s="6" t="s">
        <v>29</v>
      </c>
      <c r="B31" s="10">
        <v>27049.9</v>
      </c>
      <c r="C31" s="10">
        <v>5469.4885000000004</v>
      </c>
    </row>
    <row r="32" spans="1:15" x14ac:dyDescent="0.25">
      <c r="A32" s="6" t="s">
        <v>31</v>
      </c>
      <c r="B32" s="10">
        <v>28947.100000000002</v>
      </c>
      <c r="C32" s="10">
        <v>5626.7380999999996</v>
      </c>
    </row>
    <row r="33" spans="1:5" x14ac:dyDescent="0.25">
      <c r="A33" s="6" t="s">
        <v>28</v>
      </c>
      <c r="B33" s="10">
        <v>29152</v>
      </c>
      <c r="C33" s="10">
        <v>5218.1848999999993</v>
      </c>
    </row>
    <row r="34" spans="1:5" x14ac:dyDescent="0.25">
      <c r="A34" s="6" t="s">
        <v>27</v>
      </c>
      <c r="B34" s="10">
        <v>27397.300000000003</v>
      </c>
      <c r="C34" s="10">
        <v>4772.2995999999985</v>
      </c>
    </row>
    <row r="35" spans="1:5" x14ac:dyDescent="0.25">
      <c r="A35" s="6" t="s">
        <v>30</v>
      </c>
      <c r="B35" s="10">
        <v>22126.299999999996</v>
      </c>
      <c r="C35" s="10">
        <v>3656.3435999999997</v>
      </c>
    </row>
    <row r="36" spans="1:5" x14ac:dyDescent="0.25">
      <c r="A36" s="5" t="s">
        <v>25</v>
      </c>
      <c r="B36" s="10">
        <v>104578.1</v>
      </c>
      <c r="C36" s="10">
        <v>17971.9264</v>
      </c>
    </row>
    <row r="37" spans="1:5" x14ac:dyDescent="0.25">
      <c r="A37" s="6" t="s">
        <v>29</v>
      </c>
      <c r="B37" s="10">
        <v>33057.599999999999</v>
      </c>
      <c r="C37" s="10">
        <v>5265.9635999999991</v>
      </c>
    </row>
    <row r="38" spans="1:5" x14ac:dyDescent="0.25">
      <c r="A38" s="6" t="s">
        <v>31</v>
      </c>
      <c r="B38" s="10">
        <v>30542.700000000004</v>
      </c>
      <c r="C38" s="10">
        <v>4481.2840999999999</v>
      </c>
    </row>
    <row r="39" spans="1:5" x14ac:dyDescent="0.25">
      <c r="A39" s="6" t="s">
        <v>28</v>
      </c>
      <c r="B39" s="10">
        <v>12091.300000000001</v>
      </c>
      <c r="C39" s="10">
        <v>2086.0936000000002</v>
      </c>
    </row>
    <row r="40" spans="1:5" x14ac:dyDescent="0.25">
      <c r="A40" s="6" t="s">
        <v>27</v>
      </c>
      <c r="B40" s="10">
        <v>12977.9</v>
      </c>
      <c r="C40" s="10">
        <v>2378.1685999999995</v>
      </c>
    </row>
    <row r="41" spans="1:5" x14ac:dyDescent="0.25">
      <c r="A41" s="6" t="s">
        <v>30</v>
      </c>
      <c r="B41" s="10">
        <v>15908.6</v>
      </c>
      <c r="C41" s="10">
        <v>3760.4165000000003</v>
      </c>
    </row>
    <row r="42" spans="1:5" x14ac:dyDescent="0.25">
      <c r="A42" s="5" t="s">
        <v>44</v>
      </c>
      <c r="B42" s="9">
        <v>369775.49999999994</v>
      </c>
      <c r="C42" s="9">
        <v>66478.212199999994</v>
      </c>
    </row>
    <row r="46" spans="1:5" ht="28.5" x14ac:dyDescent="0.45">
      <c r="A46" s="16" t="s">
        <v>49</v>
      </c>
      <c r="B46" s="16"/>
      <c r="C46" s="16"/>
      <c r="D46" s="16"/>
      <c r="E46" s="16"/>
    </row>
    <row r="48" spans="1:5" x14ac:dyDescent="0.25">
      <c r="A48" s="4" t="s">
        <v>43</v>
      </c>
      <c r="B48" t="s">
        <v>46</v>
      </c>
      <c r="C48" t="s">
        <v>45</v>
      </c>
    </row>
    <row r="49" spans="1:15" x14ac:dyDescent="0.25">
      <c r="A49" s="5" t="s">
        <v>15</v>
      </c>
      <c r="B49" s="10">
        <v>11169.6788</v>
      </c>
      <c r="C49" s="10">
        <v>64640.9</v>
      </c>
    </row>
    <row r="50" spans="1:15" x14ac:dyDescent="0.25">
      <c r="A50" s="5" t="s">
        <v>18</v>
      </c>
      <c r="B50" s="10">
        <v>9167.9184999999998</v>
      </c>
      <c r="C50" s="10">
        <v>51155.299999999988</v>
      </c>
    </row>
    <row r="51" spans="1:15" x14ac:dyDescent="0.25">
      <c r="A51" s="5" t="s">
        <v>16</v>
      </c>
      <c r="B51" s="10">
        <v>9934.1299999999992</v>
      </c>
      <c r="C51" s="10">
        <v>53221.000000000007</v>
      </c>
    </row>
    <row r="52" spans="1:15" x14ac:dyDescent="0.25">
      <c r="A52" s="5" t="s">
        <v>13</v>
      </c>
      <c r="B52" s="10">
        <v>6742.8645000000006</v>
      </c>
      <c r="C52" s="10">
        <v>43663.999999999993</v>
      </c>
    </row>
    <row r="53" spans="1:15" x14ac:dyDescent="0.25">
      <c r="A53" s="5" t="s">
        <v>19</v>
      </c>
      <c r="B53" s="10">
        <v>9265.4056999999993</v>
      </c>
      <c r="C53" s="10">
        <v>45684.600000000006</v>
      </c>
    </row>
    <row r="54" spans="1:15" x14ac:dyDescent="0.25">
      <c r="A54" s="5" t="s">
        <v>14</v>
      </c>
      <c r="B54" s="10">
        <v>10893.732899999999</v>
      </c>
      <c r="C54" s="10">
        <v>63642.599999999991</v>
      </c>
      <c r="O54" s="14">
        <v>3</v>
      </c>
    </row>
    <row r="55" spans="1:15" x14ac:dyDescent="0.25">
      <c r="A55" s="5" t="s">
        <v>17</v>
      </c>
      <c r="B55" s="10">
        <v>9304.4817999999977</v>
      </c>
      <c r="C55" s="10">
        <v>47767.100000000006</v>
      </c>
      <c r="O55" s="14"/>
    </row>
    <row r="56" spans="1:15" x14ac:dyDescent="0.25">
      <c r="A56" s="5" t="s">
        <v>44</v>
      </c>
      <c r="B56" s="9">
        <v>66478.212199999994</v>
      </c>
      <c r="C56" s="9">
        <v>369775.5</v>
      </c>
    </row>
    <row r="66" spans="1:15" ht="28.5" x14ac:dyDescent="0.45">
      <c r="A66" s="15" t="s">
        <v>50</v>
      </c>
      <c r="B66" s="15"/>
      <c r="C66" s="15"/>
      <c r="D66" s="15"/>
    </row>
    <row r="68" spans="1:15" x14ac:dyDescent="0.25">
      <c r="A68" s="8" t="s">
        <v>43</v>
      </c>
      <c r="B68" t="s">
        <v>51</v>
      </c>
    </row>
    <row r="69" spans="1:15" x14ac:dyDescent="0.25">
      <c r="A69" s="7">
        <v>0</v>
      </c>
      <c r="B69" s="10">
        <v>255.52039000000005</v>
      </c>
    </row>
    <row r="70" spans="1:15" x14ac:dyDescent="0.25">
      <c r="A70" s="7">
        <v>0.1</v>
      </c>
      <c r="B70" s="10">
        <v>175.4871150684931</v>
      </c>
    </row>
    <row r="71" spans="1:15" x14ac:dyDescent="0.25">
      <c r="A71" s="7">
        <v>0.2</v>
      </c>
      <c r="B71" s="10">
        <v>137.28899795918366</v>
      </c>
    </row>
    <row r="72" spans="1:15" x14ac:dyDescent="0.25">
      <c r="A72" s="7">
        <v>0.3</v>
      </c>
      <c r="B72" s="10">
        <v>217.82287619047617</v>
      </c>
    </row>
    <row r="73" spans="1:15" x14ac:dyDescent="0.25">
      <c r="A73" s="5" t="s">
        <v>44</v>
      </c>
      <c r="B73" s="9">
        <v>211.04194349206375</v>
      </c>
      <c r="O73" s="14">
        <v>4</v>
      </c>
    </row>
    <row r="74" spans="1:15" x14ac:dyDescent="0.25">
      <c r="O74" s="14"/>
    </row>
    <row r="85" spans="1:15" ht="28.5" x14ac:dyDescent="0.45">
      <c r="A85" s="15" t="s">
        <v>52</v>
      </c>
      <c r="B85" s="15"/>
      <c r="C85" s="15"/>
      <c r="D85" s="15"/>
      <c r="E85" s="15"/>
    </row>
    <row r="87" spans="1:15" x14ac:dyDescent="0.25">
      <c r="A87" s="4" t="s">
        <v>43</v>
      </c>
      <c r="B87" t="s">
        <v>45</v>
      </c>
      <c r="C87" t="s">
        <v>46</v>
      </c>
    </row>
    <row r="88" spans="1:15" x14ac:dyDescent="0.25">
      <c r="A88" s="5" t="s">
        <v>53</v>
      </c>
      <c r="B88">
        <v>39118.9</v>
      </c>
      <c r="C88" s="10">
        <v>6583.0669999999991</v>
      </c>
    </row>
    <row r="89" spans="1:15" x14ac:dyDescent="0.25">
      <c r="A89" s="5" t="s">
        <v>54</v>
      </c>
      <c r="B89">
        <v>35999.399999999994</v>
      </c>
      <c r="C89" s="10">
        <v>6898.1298999999999</v>
      </c>
    </row>
    <row r="90" spans="1:15" x14ac:dyDescent="0.25">
      <c r="A90" s="5" t="s">
        <v>55</v>
      </c>
      <c r="B90">
        <v>41883.899999999987</v>
      </c>
      <c r="C90" s="10">
        <v>7419.3084999999992</v>
      </c>
    </row>
    <row r="91" spans="1:15" x14ac:dyDescent="0.25">
      <c r="A91" s="5" t="s">
        <v>56</v>
      </c>
      <c r="B91">
        <v>42144.600000000006</v>
      </c>
      <c r="C91" s="10">
        <v>7454.4203000000007</v>
      </c>
    </row>
    <row r="92" spans="1:15" x14ac:dyDescent="0.25">
      <c r="A92" s="5" t="s">
        <v>57</v>
      </c>
      <c r="B92">
        <v>35355.100000000006</v>
      </c>
      <c r="C92" s="10">
        <v>5823.3858999999993</v>
      </c>
    </row>
    <row r="93" spans="1:15" x14ac:dyDescent="0.25">
      <c r="A93" s="5" t="s">
        <v>58</v>
      </c>
      <c r="B93">
        <v>33264.199999999997</v>
      </c>
      <c r="C93" s="10">
        <v>6176.4647999999997</v>
      </c>
      <c r="O93" s="14">
        <v>5</v>
      </c>
    </row>
    <row r="94" spans="1:15" x14ac:dyDescent="0.25">
      <c r="A94" s="5" t="s">
        <v>59</v>
      </c>
      <c r="B94">
        <v>38407.499999999993</v>
      </c>
      <c r="C94" s="10">
        <v>6973.3748999999998</v>
      </c>
      <c r="O94" s="14"/>
    </row>
    <row r="95" spans="1:15" x14ac:dyDescent="0.25">
      <c r="A95" s="5" t="s">
        <v>60</v>
      </c>
      <c r="B95">
        <v>39949.399999999994</v>
      </c>
      <c r="C95" s="10">
        <v>7307.0416000000014</v>
      </c>
    </row>
    <row r="96" spans="1:15" x14ac:dyDescent="0.25">
      <c r="A96" s="5" t="s">
        <v>61</v>
      </c>
      <c r="B96">
        <v>36232.300000000003</v>
      </c>
      <c r="C96" s="10">
        <v>6998.4026999999996</v>
      </c>
    </row>
    <row r="97" spans="1:3" x14ac:dyDescent="0.25">
      <c r="A97" s="5" t="s">
        <v>62</v>
      </c>
      <c r="B97">
        <v>27420.200000000008</v>
      </c>
      <c r="C97" s="10">
        <v>4844.6165999999994</v>
      </c>
    </row>
    <row r="98" spans="1:3" x14ac:dyDescent="0.25">
      <c r="A98" s="5" t="s">
        <v>44</v>
      </c>
      <c r="B98" s="9">
        <v>369775.5</v>
      </c>
      <c r="C98" s="9">
        <v>66478.212200000009</v>
      </c>
    </row>
    <row r="105" spans="1:3" ht="28.5" x14ac:dyDescent="0.45">
      <c r="A105" s="15" t="s">
        <v>63</v>
      </c>
      <c r="B105" s="15"/>
      <c r="C105" s="15"/>
    </row>
    <row r="107" spans="1:3" x14ac:dyDescent="0.25">
      <c r="A107" s="4" t="s">
        <v>43</v>
      </c>
      <c r="B107" t="s">
        <v>46</v>
      </c>
      <c r="C107" t="s">
        <v>45</v>
      </c>
    </row>
    <row r="108" spans="1:3" x14ac:dyDescent="0.25">
      <c r="A108" s="5" t="s">
        <v>29</v>
      </c>
      <c r="B108" s="10">
        <v>15078.809599999995</v>
      </c>
      <c r="C108" s="10">
        <v>85307.1</v>
      </c>
    </row>
    <row r="109" spans="1:3" x14ac:dyDescent="0.25">
      <c r="A109" s="5" t="s">
        <v>31</v>
      </c>
      <c r="B109" s="10">
        <v>12728.908399999998</v>
      </c>
      <c r="C109" s="10">
        <v>81814.499999999985</v>
      </c>
    </row>
    <row r="110" spans="1:3" x14ac:dyDescent="0.25">
      <c r="A110" s="5" t="s">
        <v>28</v>
      </c>
      <c r="B110" s="10">
        <v>13736.2379</v>
      </c>
      <c r="C110" s="10">
        <v>71519.8</v>
      </c>
    </row>
    <row r="111" spans="1:3" x14ac:dyDescent="0.25">
      <c r="A111" s="5" t="s">
        <v>27</v>
      </c>
      <c r="B111" s="10">
        <v>11850.371800000003</v>
      </c>
      <c r="C111" s="10">
        <v>66961.300000000017</v>
      </c>
    </row>
    <row r="112" spans="1:3" x14ac:dyDescent="0.25">
      <c r="A112" s="5" t="s">
        <v>30</v>
      </c>
      <c r="B112" s="10">
        <v>13083.884499999995</v>
      </c>
      <c r="C112" s="10">
        <v>64172.799999999988</v>
      </c>
    </row>
    <row r="113" spans="1:15" x14ac:dyDescent="0.25">
      <c r="A113" s="5" t="s">
        <v>44</v>
      </c>
      <c r="B113" s="9">
        <v>66478.212199999994</v>
      </c>
      <c r="C113" s="9">
        <v>369775.49999999994</v>
      </c>
      <c r="O113" s="14">
        <v>6</v>
      </c>
    </row>
    <row r="114" spans="1:15" x14ac:dyDescent="0.25">
      <c r="O114" s="14"/>
    </row>
    <row r="126" spans="1:15" ht="28.5" x14ac:dyDescent="0.45">
      <c r="A126" s="15" t="s">
        <v>64</v>
      </c>
      <c r="B126" s="15"/>
      <c r="C126" s="15"/>
    </row>
    <row r="128" spans="1:15" x14ac:dyDescent="0.25">
      <c r="A128" s="9" t="s">
        <v>45</v>
      </c>
      <c r="B128" s="9" t="s">
        <v>46</v>
      </c>
      <c r="C128" t="s">
        <v>66</v>
      </c>
    </row>
    <row r="129" spans="1:15" x14ac:dyDescent="0.25">
      <c r="A129" s="9">
        <v>369775.50000000006</v>
      </c>
      <c r="B129" s="9">
        <v>66478.212200000082</v>
      </c>
      <c r="C129" s="11">
        <v>0.17624380521894728</v>
      </c>
    </row>
    <row r="134" spans="1:15" x14ac:dyDescent="0.25">
      <c r="O134" s="14">
        <v>7</v>
      </c>
    </row>
    <row r="135" spans="1:15" x14ac:dyDescent="0.25">
      <c r="O135" s="14"/>
    </row>
    <row r="143" spans="1:15" x14ac:dyDescent="0.25">
      <c r="A143" s="4" t="s">
        <v>43</v>
      </c>
      <c r="B143" t="s">
        <v>67</v>
      </c>
    </row>
    <row r="144" spans="1:15" x14ac:dyDescent="0.25">
      <c r="A144" s="5" t="s">
        <v>26</v>
      </c>
      <c r="B144">
        <v>11</v>
      </c>
    </row>
    <row r="145" spans="1:2" x14ac:dyDescent="0.25">
      <c r="A145" s="6" t="s">
        <v>29</v>
      </c>
      <c r="B145">
        <v>1</v>
      </c>
    </row>
    <row r="146" spans="1:2" x14ac:dyDescent="0.25">
      <c r="A146" s="6" t="s">
        <v>31</v>
      </c>
      <c r="B146">
        <v>1</v>
      </c>
    </row>
    <row r="147" spans="1:2" x14ac:dyDescent="0.25">
      <c r="A147" s="6" t="s">
        <v>28</v>
      </c>
      <c r="B147">
        <v>2</v>
      </c>
    </row>
    <row r="148" spans="1:2" x14ac:dyDescent="0.25">
      <c r="A148" s="6" t="s">
        <v>27</v>
      </c>
      <c r="B148">
        <v>5</v>
      </c>
    </row>
    <row r="149" spans="1:2" x14ac:dyDescent="0.25">
      <c r="A149" s="6" t="s">
        <v>30</v>
      </c>
      <c r="B149">
        <v>2</v>
      </c>
    </row>
    <row r="150" spans="1:2" x14ac:dyDescent="0.25">
      <c r="A150" s="5" t="s">
        <v>24</v>
      </c>
      <c r="B150">
        <v>14</v>
      </c>
    </row>
    <row r="151" spans="1:2" x14ac:dyDescent="0.25">
      <c r="A151" s="6" t="s">
        <v>29</v>
      </c>
      <c r="B151">
        <v>2</v>
      </c>
    </row>
    <row r="152" spans="1:2" x14ac:dyDescent="0.25">
      <c r="A152" s="6" t="s">
        <v>31</v>
      </c>
      <c r="B152">
        <v>3</v>
      </c>
    </row>
    <row r="153" spans="1:2" x14ac:dyDescent="0.25">
      <c r="A153" s="6" t="s">
        <v>28</v>
      </c>
      <c r="B153">
        <v>7</v>
      </c>
    </row>
    <row r="154" spans="1:2" x14ac:dyDescent="0.25">
      <c r="A154" s="6" t="s">
        <v>27</v>
      </c>
      <c r="B154">
        <v>2</v>
      </c>
    </row>
    <row r="155" spans="1:2" x14ac:dyDescent="0.25">
      <c r="A155" s="5" t="s">
        <v>25</v>
      </c>
      <c r="B155">
        <v>9</v>
      </c>
    </row>
    <row r="156" spans="1:2" x14ac:dyDescent="0.25">
      <c r="A156" s="6" t="s">
        <v>29</v>
      </c>
      <c r="B156">
        <v>3</v>
      </c>
    </row>
    <row r="157" spans="1:2" x14ac:dyDescent="0.25">
      <c r="A157" s="6" t="s">
        <v>31</v>
      </c>
      <c r="B157">
        <v>2</v>
      </c>
    </row>
    <row r="158" spans="1:2" x14ac:dyDescent="0.25">
      <c r="A158" s="6" t="s">
        <v>30</v>
      </c>
      <c r="B158">
        <v>4</v>
      </c>
    </row>
    <row r="159" spans="1:2" x14ac:dyDescent="0.25">
      <c r="A159" s="5" t="s">
        <v>44</v>
      </c>
      <c r="B159">
        <v>34</v>
      </c>
    </row>
  </sheetData>
  <mergeCells count="14">
    <mergeCell ref="O134:O135"/>
    <mergeCell ref="A1:D1"/>
    <mergeCell ref="A21:G21"/>
    <mergeCell ref="A46:E46"/>
    <mergeCell ref="O9:O10"/>
    <mergeCell ref="O29:O30"/>
    <mergeCell ref="A126:C126"/>
    <mergeCell ref="A66:D66"/>
    <mergeCell ref="A85:E85"/>
    <mergeCell ref="A105:C105"/>
    <mergeCell ref="O54:O55"/>
    <mergeCell ref="O73:O74"/>
    <mergeCell ref="O93:O94"/>
    <mergeCell ref="O113:O114"/>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503F-020C-4797-9AC5-1FB0807C79B9}">
  <sheetPr>
    <pageSetUpPr fitToPage="1"/>
  </sheetPr>
  <dimension ref="A1"/>
  <sheetViews>
    <sheetView showGridLines="0" showRowColHeaders="0" zoomScaleNormal="100" workbookViewId="0">
      <selection activeCell="B22" sqref="B22"/>
    </sheetView>
  </sheetViews>
  <sheetFormatPr defaultRowHeight="15" x14ac:dyDescent="0.25"/>
  <cols>
    <col min="1" max="16384" width="9.140625" style="13"/>
  </cols>
  <sheetData/>
  <pageMargins left="0.25" right="0.25" top="0.75" bottom="0.75" header="0.3" footer="0.3"/>
  <pageSetup paperSize="9" scale="51"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2F981E-5A22-4BC6-8856-C1EC43616A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Cleaned 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dc:creator>
  <cp:lastModifiedBy>MS Akash</cp:lastModifiedBy>
  <cp:lastPrinted>2025-09-13T06:55:34Z</cp:lastPrinted>
  <dcterms:created xsi:type="dcterms:W3CDTF">2025-08-01T07:45:59Z</dcterms:created>
  <dcterms:modified xsi:type="dcterms:W3CDTF">2026-03-14T10:10:54Z</dcterms:modified>
</cp:coreProperties>
</file>